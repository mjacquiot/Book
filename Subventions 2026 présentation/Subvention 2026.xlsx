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jacquiot\Documents\Tests index.html\Subventions 2026 présentation\"/>
    </mc:Choice>
  </mc:AlternateContent>
  <xr:revisionPtr revIDLastSave="0" documentId="13_ncr:1_{FE394C4E-5805-4ACB-AD0D-008CA04722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uil1" sheetId="1" r:id="rId1"/>
    <sheet name="Feuil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D79" i="1"/>
  <c r="O76" i="1"/>
  <c r="R76" i="1" s="1"/>
  <c r="N76" i="1"/>
  <c r="O75" i="1"/>
  <c r="R75" i="1" s="1"/>
  <c r="N75" i="1"/>
  <c r="Q74" i="1"/>
  <c r="N74" i="1"/>
  <c r="R73" i="1"/>
  <c r="Q73" i="1"/>
  <c r="O73" i="1"/>
  <c r="N73" i="1"/>
  <c r="R72" i="1"/>
  <c r="O72" i="1"/>
  <c r="Q72" i="1" s="1"/>
  <c r="N72" i="1"/>
  <c r="AL66" i="1"/>
  <c r="AK66" i="1"/>
  <c r="AJ66" i="1"/>
  <c r="AI66" i="1"/>
  <c r="AH66" i="1"/>
  <c r="AG66" i="1"/>
  <c r="AE66" i="1"/>
  <c r="AF66" i="1" s="1"/>
  <c r="AD66" i="1"/>
  <c r="AA66" i="1"/>
  <c r="V66" i="1"/>
  <c r="P66" i="1"/>
  <c r="I66" i="1"/>
  <c r="F66" i="1"/>
  <c r="AN66" i="1" s="1"/>
  <c r="O65" i="1"/>
  <c r="Q65" i="1" s="1"/>
  <c r="R65" i="1" s="1"/>
  <c r="Q64" i="1"/>
  <c r="R64" i="1" s="1"/>
  <c r="O64" i="1"/>
  <c r="O63" i="1"/>
  <c r="Q63" i="1" s="1"/>
  <c r="R63" i="1" s="1"/>
  <c r="R62" i="1"/>
  <c r="Q62" i="1"/>
  <c r="O62" i="1"/>
  <c r="O61" i="1"/>
  <c r="Q61" i="1" s="1"/>
  <c r="R61" i="1" s="1"/>
  <c r="R60" i="1"/>
  <c r="Q60" i="1"/>
  <c r="O60" i="1"/>
  <c r="O59" i="1"/>
  <c r="Q59" i="1" s="1"/>
  <c r="R59" i="1" s="1"/>
  <c r="R58" i="1"/>
  <c r="Q58" i="1"/>
  <c r="O58" i="1"/>
  <c r="AQ57" i="1"/>
  <c r="AP57" i="1"/>
  <c r="AN57" i="1"/>
  <c r="AO57" i="1" s="1"/>
  <c r="AM57" i="1"/>
  <c r="AL57" i="1"/>
  <c r="AI57" i="1"/>
  <c r="AF57" i="1"/>
  <c r="N57" i="1"/>
  <c r="O57" i="1" s="1"/>
  <c r="Q57" i="1" s="1"/>
  <c r="M57" i="1"/>
  <c r="G57" i="1"/>
  <c r="E57" i="1"/>
  <c r="D57" i="1"/>
  <c r="C57" i="1"/>
  <c r="AQ56" i="1"/>
  <c r="AP56" i="1"/>
  <c r="AP68" i="1" s="1"/>
  <c r="AN56" i="1"/>
  <c r="AO56" i="1" s="1"/>
  <c r="AM56" i="1"/>
  <c r="AL56" i="1"/>
  <c r="AI56" i="1"/>
  <c r="AF56" i="1"/>
  <c r="Y56" i="1"/>
  <c r="X56" i="1"/>
  <c r="N56" i="1"/>
  <c r="O56" i="1" s="1"/>
  <c r="Q56" i="1" s="1"/>
  <c r="M56" i="1"/>
  <c r="G56" i="1"/>
  <c r="E56" i="1"/>
  <c r="D56" i="1"/>
  <c r="C56" i="1"/>
  <c r="AQ55" i="1"/>
  <c r="AQ68" i="1" s="1"/>
  <c r="AP55" i="1"/>
  <c r="AO55" i="1"/>
  <c r="AN55" i="1"/>
  <c r="AM55" i="1"/>
  <c r="AL55" i="1"/>
  <c r="AI55" i="1"/>
  <c r="AF55" i="1"/>
  <c r="Y55" i="1"/>
  <c r="X55" i="1"/>
  <c r="N55" i="1"/>
  <c r="O55" i="1" s="1"/>
  <c r="Q55" i="1" s="1"/>
  <c r="M55" i="1"/>
  <c r="G55" i="1"/>
  <c r="E55" i="1"/>
  <c r="E66" i="1" s="1"/>
  <c r="D55" i="1"/>
  <c r="D66" i="1" s="1"/>
  <c r="C55" i="1"/>
  <c r="C66" i="1" s="1"/>
  <c r="AN54" i="1"/>
  <c r="AM54" i="1"/>
  <c r="AO54" i="1" s="1"/>
  <c r="AL54" i="1"/>
  <c r="AI54" i="1"/>
  <c r="AF54" i="1"/>
  <c r="Z54" i="1"/>
  <c r="Y54" i="1"/>
  <c r="X54" i="1"/>
  <c r="L54" i="1"/>
  <c r="N54" i="1" s="1"/>
  <c r="O54" i="1" s="1"/>
  <c r="Q54" i="1" s="1"/>
  <c r="R54" i="1" s="1"/>
  <c r="H54" i="1"/>
  <c r="G54" i="1"/>
  <c r="AN53" i="1"/>
  <c r="AO53" i="1" s="1"/>
  <c r="AM53" i="1"/>
  <c r="AL53" i="1"/>
  <c r="AI53" i="1"/>
  <c r="AF53" i="1"/>
  <c r="Z53" i="1"/>
  <c r="Y53" i="1"/>
  <c r="X53" i="1"/>
  <c r="N53" i="1"/>
  <c r="O53" i="1" s="1"/>
  <c r="Q53" i="1" s="1"/>
  <c r="L53" i="1"/>
  <c r="H53" i="1"/>
  <c r="G53" i="1"/>
  <c r="AN52" i="1"/>
  <c r="AO52" i="1" s="1"/>
  <c r="AM52" i="1"/>
  <c r="AL52" i="1"/>
  <c r="AI52" i="1"/>
  <c r="AF52" i="1"/>
  <c r="Z52" i="1"/>
  <c r="Y52" i="1"/>
  <c r="X52" i="1"/>
  <c r="L52" i="1"/>
  <c r="N52" i="1" s="1"/>
  <c r="O52" i="1" s="1"/>
  <c r="Q52" i="1" s="1"/>
  <c r="R52" i="1" s="1"/>
  <c r="H52" i="1"/>
  <c r="G52" i="1"/>
  <c r="G66" i="1" s="1"/>
  <c r="AO51" i="1"/>
  <c r="AN51" i="1"/>
  <c r="AM51" i="1"/>
  <c r="AL51" i="1"/>
  <c r="AI51" i="1"/>
  <c r="AF51" i="1"/>
  <c r="Z51" i="1"/>
  <c r="Y51" i="1"/>
  <c r="Y66" i="1" s="1"/>
  <c r="V51" i="1"/>
  <c r="U51" i="1"/>
  <c r="X51" i="1" s="1"/>
  <c r="X66" i="1" s="1"/>
  <c r="N51" i="1"/>
  <c r="L51" i="1"/>
  <c r="H51" i="1"/>
  <c r="H66" i="1" s="1"/>
  <c r="G51" i="1"/>
  <c r="AM49" i="1"/>
  <c r="AL49" i="1"/>
  <c r="AK49" i="1"/>
  <c r="AJ49" i="1"/>
  <c r="AH49" i="1"/>
  <c r="AI49" i="1" s="1"/>
  <c r="AG49" i="1"/>
  <c r="AE49" i="1"/>
  <c r="AF49" i="1" s="1"/>
  <c r="AD49" i="1"/>
  <c r="U49" i="1"/>
  <c r="S49" i="1"/>
  <c r="P49" i="1"/>
  <c r="I49" i="1"/>
  <c r="F49" i="1"/>
  <c r="E49" i="1"/>
  <c r="D49" i="1"/>
  <c r="C49" i="1"/>
  <c r="AN48" i="1"/>
  <c r="AM48" i="1"/>
  <c r="AO48" i="1" s="1"/>
  <c r="AL48" i="1"/>
  <c r="AI48" i="1"/>
  <c r="AF48" i="1"/>
  <c r="Z48" i="1"/>
  <c r="Y48" i="1"/>
  <c r="X48" i="1"/>
  <c r="M48" i="1"/>
  <c r="L48" i="1"/>
  <c r="N48" i="1" s="1"/>
  <c r="O48" i="1" s="1"/>
  <c r="Q48" i="1" s="1"/>
  <c r="H48" i="1"/>
  <c r="G48" i="1"/>
  <c r="AN47" i="1"/>
  <c r="AO47" i="1" s="1"/>
  <c r="AM47" i="1"/>
  <c r="AL47" i="1"/>
  <c r="AI47" i="1"/>
  <c r="AF47" i="1"/>
  <c r="Z47" i="1"/>
  <c r="Y47" i="1"/>
  <c r="X47" i="1"/>
  <c r="M47" i="1"/>
  <c r="L47" i="1"/>
  <c r="N47" i="1" s="1"/>
  <c r="O47" i="1" s="1"/>
  <c r="Q47" i="1" s="1"/>
  <c r="H47" i="1"/>
  <c r="G47" i="1"/>
  <c r="AN46" i="1"/>
  <c r="AM46" i="1"/>
  <c r="AO46" i="1" s="1"/>
  <c r="AL46" i="1"/>
  <c r="AI46" i="1"/>
  <c r="AF46" i="1"/>
  <c r="Z46" i="1"/>
  <c r="Y46" i="1"/>
  <c r="X46" i="1"/>
  <c r="M46" i="1"/>
  <c r="L46" i="1"/>
  <c r="N46" i="1" s="1"/>
  <c r="O46" i="1" s="1"/>
  <c r="Q46" i="1" s="1"/>
  <c r="AB46" i="1" s="1"/>
  <c r="H46" i="1"/>
  <c r="G46" i="1"/>
  <c r="AN45" i="1"/>
  <c r="AM45" i="1"/>
  <c r="AO45" i="1" s="1"/>
  <c r="AL45" i="1"/>
  <c r="AI45" i="1"/>
  <c r="AF45" i="1"/>
  <c r="Z45" i="1"/>
  <c r="Y45" i="1"/>
  <c r="X45" i="1"/>
  <c r="M45" i="1"/>
  <c r="N45" i="1" s="1"/>
  <c r="O45" i="1" s="1"/>
  <c r="Q45" i="1" s="1"/>
  <c r="L45" i="1"/>
  <c r="H45" i="1"/>
  <c r="G45" i="1"/>
  <c r="AN44" i="1"/>
  <c r="AM44" i="1"/>
  <c r="AO44" i="1" s="1"/>
  <c r="AL44" i="1"/>
  <c r="AI44" i="1"/>
  <c r="AF44" i="1"/>
  <c r="Z44" i="1"/>
  <c r="Y44" i="1"/>
  <c r="X44" i="1"/>
  <c r="M44" i="1"/>
  <c r="N44" i="1" s="1"/>
  <c r="O44" i="1" s="1"/>
  <c r="Q44" i="1" s="1"/>
  <c r="L44" i="1"/>
  <c r="H44" i="1"/>
  <c r="G44" i="1"/>
  <c r="AN43" i="1"/>
  <c r="AO43" i="1" s="1"/>
  <c r="AM43" i="1"/>
  <c r="AL43" i="1"/>
  <c r="AI43" i="1"/>
  <c r="AF43" i="1"/>
  <c r="Z43" i="1"/>
  <c r="X43" i="1"/>
  <c r="X49" i="1" s="1"/>
  <c r="V43" i="1"/>
  <c r="Y43" i="1" s="1"/>
  <c r="Y49" i="1" s="1"/>
  <c r="M43" i="1"/>
  <c r="H43" i="1"/>
  <c r="H49" i="1" s="1"/>
  <c r="G43" i="1"/>
  <c r="G49" i="1" s="1"/>
  <c r="AN41" i="1"/>
  <c r="AL41" i="1"/>
  <c r="AK41" i="1"/>
  <c r="AJ41" i="1"/>
  <c r="AH41" i="1"/>
  <c r="AG41" i="1"/>
  <c r="AI41" i="1" s="1"/>
  <c r="AE41" i="1"/>
  <c r="AD41" i="1"/>
  <c r="AF41" i="1" s="1"/>
  <c r="V41" i="1"/>
  <c r="Z41" i="1" s="1"/>
  <c r="U41" i="1"/>
  <c r="S41" i="1"/>
  <c r="P41" i="1"/>
  <c r="I41" i="1"/>
  <c r="F41" i="1"/>
  <c r="E41" i="1"/>
  <c r="D41" i="1"/>
  <c r="C41" i="1"/>
  <c r="AO40" i="1"/>
  <c r="AN40" i="1"/>
  <c r="AM40" i="1"/>
  <c r="AL40" i="1"/>
  <c r="AI40" i="1"/>
  <c r="AF40" i="1"/>
  <c r="AA40" i="1"/>
  <c r="Z40" i="1"/>
  <c r="Y40" i="1"/>
  <c r="R40" i="1"/>
  <c r="N40" i="1"/>
  <c r="L40" i="1"/>
  <c r="H40" i="1"/>
  <c r="O40" i="1" s="1"/>
  <c r="Q40" i="1" s="1"/>
  <c r="AN39" i="1"/>
  <c r="AO39" i="1" s="1"/>
  <c r="AM39" i="1"/>
  <c r="AL39" i="1"/>
  <c r="AI39" i="1"/>
  <c r="AF39" i="1"/>
  <c r="Z39" i="1"/>
  <c r="X39" i="1"/>
  <c r="N39" i="1"/>
  <c r="L39" i="1"/>
  <c r="G39" i="1"/>
  <c r="AN38" i="1"/>
  <c r="AO38" i="1" s="1"/>
  <c r="AM38" i="1"/>
  <c r="AL38" i="1"/>
  <c r="AI38" i="1"/>
  <c r="AF38" i="1"/>
  <c r="AA38" i="1"/>
  <c r="Z38" i="1"/>
  <c r="Y38" i="1"/>
  <c r="H38" i="1" s="1"/>
  <c r="X38" i="1"/>
  <c r="L38" i="1"/>
  <c r="N38" i="1" s="1"/>
  <c r="O38" i="1" s="1"/>
  <c r="Q38" i="1" s="1"/>
  <c r="G38" i="1"/>
  <c r="AN37" i="1"/>
  <c r="AM37" i="1"/>
  <c r="AO37" i="1" s="1"/>
  <c r="AL37" i="1"/>
  <c r="AI37" i="1"/>
  <c r="AF37" i="1"/>
  <c r="AA37" i="1"/>
  <c r="Z37" i="1"/>
  <c r="Y37" i="1"/>
  <c r="X37" i="1"/>
  <c r="G37" i="1" s="1"/>
  <c r="L37" i="1"/>
  <c r="N37" i="1" s="1"/>
  <c r="O37" i="1" s="1"/>
  <c r="Q37" i="1" s="1"/>
  <c r="H37" i="1"/>
  <c r="AO36" i="1"/>
  <c r="AN36" i="1"/>
  <c r="AM36" i="1"/>
  <c r="AL36" i="1"/>
  <c r="AI36" i="1"/>
  <c r="AF36" i="1"/>
  <c r="AA36" i="1"/>
  <c r="Z36" i="1"/>
  <c r="Y36" i="1"/>
  <c r="X36" i="1"/>
  <c r="R36" i="1"/>
  <c r="N36" i="1"/>
  <c r="L36" i="1"/>
  <c r="H36" i="1"/>
  <c r="O36" i="1" s="1"/>
  <c r="Q36" i="1" s="1"/>
  <c r="G36" i="1"/>
  <c r="AN35" i="1"/>
  <c r="AO35" i="1" s="1"/>
  <c r="AM35" i="1"/>
  <c r="AL35" i="1"/>
  <c r="AI35" i="1"/>
  <c r="AF35" i="1"/>
  <c r="AA35" i="1"/>
  <c r="Z35" i="1"/>
  <c r="Y35" i="1"/>
  <c r="H35" i="1" s="1"/>
  <c r="N35" i="1"/>
  <c r="L35" i="1"/>
  <c r="G35" i="1"/>
  <c r="AN34" i="1"/>
  <c r="AO34" i="1" s="1"/>
  <c r="AM34" i="1"/>
  <c r="AL34" i="1"/>
  <c r="AI34" i="1"/>
  <c r="AF34" i="1"/>
  <c r="AA34" i="1"/>
  <c r="Z34" i="1"/>
  <c r="Y34" i="1"/>
  <c r="H34" i="1" s="1"/>
  <c r="X34" i="1"/>
  <c r="L34" i="1"/>
  <c r="N34" i="1" s="1"/>
  <c r="G34" i="1"/>
  <c r="AN33" i="1"/>
  <c r="AM33" i="1"/>
  <c r="AO33" i="1" s="1"/>
  <c r="AL33" i="1"/>
  <c r="AI33" i="1"/>
  <c r="AF33" i="1"/>
  <c r="Z33" i="1"/>
  <c r="Y33" i="1"/>
  <c r="X33" i="1"/>
  <c r="G33" i="1" s="1"/>
  <c r="L33" i="1"/>
  <c r="N33" i="1" s="1"/>
  <c r="O33" i="1" s="1"/>
  <c r="Q33" i="1" s="1"/>
  <c r="H33" i="1"/>
  <c r="AO32" i="1"/>
  <c r="AN32" i="1"/>
  <c r="AM32" i="1"/>
  <c r="AL32" i="1"/>
  <c r="AI32" i="1"/>
  <c r="AF32" i="1"/>
  <c r="Z32" i="1"/>
  <c r="Y32" i="1"/>
  <c r="X32" i="1"/>
  <c r="N32" i="1"/>
  <c r="L32" i="1"/>
  <c r="H32" i="1"/>
  <c r="O32" i="1" s="1"/>
  <c r="G32" i="1"/>
  <c r="AN31" i="1"/>
  <c r="AO31" i="1" s="1"/>
  <c r="AM31" i="1"/>
  <c r="AL31" i="1"/>
  <c r="AI31" i="1"/>
  <c r="AF31" i="1"/>
  <c r="AA31" i="1"/>
  <c r="Z31" i="1"/>
  <c r="Y31" i="1"/>
  <c r="X31" i="1"/>
  <c r="N31" i="1"/>
  <c r="L31" i="1"/>
  <c r="G31" i="1"/>
  <c r="AL29" i="1"/>
  <c r="AK29" i="1"/>
  <c r="AJ29" i="1"/>
  <c r="AI29" i="1"/>
  <c r="AH29" i="1"/>
  <c r="AG29" i="1"/>
  <c r="AM29" i="1" s="1"/>
  <c r="AE29" i="1"/>
  <c r="AD29" i="1"/>
  <c r="AF29" i="1" s="1"/>
  <c r="Z29" i="1"/>
  <c r="V29" i="1"/>
  <c r="U29" i="1"/>
  <c r="S29" i="1"/>
  <c r="P29" i="1"/>
  <c r="I29" i="1"/>
  <c r="F29" i="1"/>
  <c r="AN29" i="1" s="1"/>
  <c r="E29" i="1"/>
  <c r="D29" i="1"/>
  <c r="C29" i="1"/>
  <c r="AO28" i="1"/>
  <c r="AN28" i="1"/>
  <c r="AM28" i="1"/>
  <c r="AL28" i="1"/>
  <c r="AI28" i="1"/>
  <c r="AF28" i="1"/>
  <c r="AA28" i="1"/>
  <c r="Z28" i="1"/>
  <c r="Y28" i="1"/>
  <c r="N28" i="1"/>
  <c r="O28" i="1" s="1"/>
  <c r="Q28" i="1" s="1"/>
  <c r="L28" i="1"/>
  <c r="H28" i="1"/>
  <c r="AN27" i="1"/>
  <c r="AO27" i="1" s="1"/>
  <c r="AM27" i="1"/>
  <c r="AL27" i="1"/>
  <c r="AI27" i="1"/>
  <c r="AF27" i="1"/>
  <c r="AA27" i="1"/>
  <c r="AA39" i="1" s="1"/>
  <c r="AA46" i="1" s="1"/>
  <c r="Z27" i="1"/>
  <c r="X27" i="1"/>
  <c r="N27" i="1"/>
  <c r="L27" i="1"/>
  <c r="G27" i="1"/>
  <c r="AN26" i="1"/>
  <c r="AM26" i="1"/>
  <c r="AO26" i="1" s="1"/>
  <c r="AL26" i="1"/>
  <c r="AI26" i="1"/>
  <c r="AF26" i="1"/>
  <c r="AA26" i="1"/>
  <c r="Z26" i="1"/>
  <c r="Y26" i="1"/>
  <c r="X26" i="1"/>
  <c r="G26" i="1" s="1"/>
  <c r="L26" i="1"/>
  <c r="N26" i="1" s="1"/>
  <c r="O26" i="1" s="1"/>
  <c r="Q26" i="1" s="1"/>
  <c r="H26" i="1"/>
  <c r="AO25" i="1"/>
  <c r="AN25" i="1"/>
  <c r="AM25" i="1"/>
  <c r="AL25" i="1"/>
  <c r="AI25" i="1"/>
  <c r="AF25" i="1"/>
  <c r="AA25" i="1"/>
  <c r="Z25" i="1"/>
  <c r="Y25" i="1"/>
  <c r="X25" i="1"/>
  <c r="G25" i="1" s="1"/>
  <c r="N25" i="1"/>
  <c r="L25" i="1"/>
  <c r="H25" i="1"/>
  <c r="O25" i="1" s="1"/>
  <c r="Q25" i="1" s="1"/>
  <c r="AO24" i="1"/>
  <c r="AN24" i="1"/>
  <c r="AM24" i="1"/>
  <c r="AL24" i="1"/>
  <c r="AI24" i="1"/>
  <c r="AF24" i="1"/>
  <c r="AA24" i="1"/>
  <c r="Z24" i="1"/>
  <c r="N24" i="1"/>
  <c r="L24" i="1"/>
  <c r="AN23" i="1"/>
  <c r="AO23" i="1" s="1"/>
  <c r="AM23" i="1"/>
  <c r="AL23" i="1"/>
  <c r="AI23" i="1"/>
  <c r="AF23" i="1"/>
  <c r="AA23" i="1"/>
  <c r="AA45" i="1" s="1"/>
  <c r="Z23" i="1"/>
  <c r="Y23" i="1"/>
  <c r="H23" i="1" s="1"/>
  <c r="X23" i="1"/>
  <c r="N23" i="1"/>
  <c r="O23" i="1" s="1"/>
  <c r="Q23" i="1" s="1"/>
  <c r="L23" i="1"/>
  <c r="G23" i="1"/>
  <c r="AN22" i="1"/>
  <c r="AM22" i="1"/>
  <c r="AO22" i="1" s="1"/>
  <c r="AL22" i="1"/>
  <c r="AI22" i="1"/>
  <c r="AF22" i="1"/>
  <c r="AA22" i="1"/>
  <c r="AA33" i="1" s="1"/>
  <c r="Z22" i="1"/>
  <c r="Y22" i="1"/>
  <c r="X22" i="1"/>
  <c r="G22" i="1" s="1"/>
  <c r="L22" i="1"/>
  <c r="N22" i="1" s="1"/>
  <c r="O22" i="1" s="1"/>
  <c r="Q22" i="1" s="1"/>
  <c r="H22" i="1"/>
  <c r="AO21" i="1"/>
  <c r="AN21" i="1"/>
  <c r="AM21" i="1"/>
  <c r="AL21" i="1"/>
  <c r="AI21" i="1"/>
  <c r="AF21" i="1"/>
  <c r="AA21" i="1"/>
  <c r="AA32" i="1" s="1"/>
  <c r="AA47" i="1" s="1"/>
  <c r="Z21" i="1"/>
  <c r="Y21" i="1"/>
  <c r="X21" i="1"/>
  <c r="G21" i="1" s="1"/>
  <c r="N21" i="1"/>
  <c r="L21" i="1"/>
  <c r="H21" i="1"/>
  <c r="O21" i="1" s="1"/>
  <c r="Q21" i="1" s="1"/>
  <c r="AO20" i="1"/>
  <c r="AN20" i="1"/>
  <c r="AM20" i="1"/>
  <c r="AL20" i="1"/>
  <c r="AI20" i="1"/>
  <c r="AF20" i="1"/>
  <c r="AA20" i="1"/>
  <c r="AA29" i="1" s="1"/>
  <c r="Z20" i="1"/>
  <c r="Y20" i="1"/>
  <c r="X20" i="1"/>
  <c r="N20" i="1"/>
  <c r="L20" i="1"/>
  <c r="H20" i="1"/>
  <c r="G20" i="1"/>
  <c r="AN18" i="1"/>
  <c r="AL18" i="1"/>
  <c r="AK18" i="1"/>
  <c r="AJ18" i="1"/>
  <c r="AH18" i="1"/>
  <c r="AG18" i="1"/>
  <c r="AI18" i="1" s="1"/>
  <c r="AE18" i="1"/>
  <c r="AD18" i="1"/>
  <c r="AF18" i="1" s="1"/>
  <c r="AA18" i="1"/>
  <c r="S18" i="1"/>
  <c r="P18" i="1"/>
  <c r="I18" i="1"/>
  <c r="F18" i="1"/>
  <c r="E18" i="1"/>
  <c r="D18" i="1"/>
  <c r="C18" i="1"/>
  <c r="AN17" i="1"/>
  <c r="AM17" i="1"/>
  <c r="AO17" i="1" s="1"/>
  <c r="AL17" i="1"/>
  <c r="AI17" i="1"/>
  <c r="AF17" i="1"/>
  <c r="Z17" i="1"/>
  <c r="Y17" i="1"/>
  <c r="H17" i="1" s="1"/>
  <c r="W17" i="1"/>
  <c r="V17" i="1"/>
  <c r="U17" i="1"/>
  <c r="X28" i="1" s="1"/>
  <c r="G28" i="1" s="1"/>
  <c r="M17" i="1"/>
  <c r="L17" i="1"/>
  <c r="N17" i="1" s="1"/>
  <c r="O17" i="1" s="1"/>
  <c r="Q17" i="1" s="1"/>
  <c r="AN16" i="1"/>
  <c r="AM16" i="1"/>
  <c r="AO16" i="1" s="1"/>
  <c r="AL16" i="1"/>
  <c r="AI16" i="1"/>
  <c r="AF16" i="1"/>
  <c r="X16" i="1"/>
  <c r="V16" i="1"/>
  <c r="M16" i="1"/>
  <c r="G16" i="1"/>
  <c r="AN15" i="1"/>
  <c r="AO15" i="1" s="1"/>
  <c r="AM15" i="1"/>
  <c r="AL15" i="1"/>
  <c r="AI15" i="1"/>
  <c r="AF15" i="1"/>
  <c r="Z15" i="1"/>
  <c r="X15" i="1"/>
  <c r="G15" i="1" s="1"/>
  <c r="V15" i="1"/>
  <c r="W15" i="1" s="1"/>
  <c r="U15" i="1"/>
  <c r="X35" i="1" s="1"/>
  <c r="M15" i="1"/>
  <c r="AN14" i="1"/>
  <c r="AM14" i="1"/>
  <c r="AL14" i="1"/>
  <c r="AI14" i="1"/>
  <c r="AF14" i="1"/>
  <c r="Z14" i="1"/>
  <c r="Y14" i="1"/>
  <c r="X14" i="1"/>
  <c r="W14" i="1"/>
  <c r="N14" i="1"/>
  <c r="O14" i="1" s="1"/>
  <c r="Q14" i="1" s="1"/>
  <c r="M14" i="1"/>
  <c r="L14" i="1"/>
  <c r="H14" i="1"/>
  <c r="G14" i="1"/>
  <c r="AN13" i="1"/>
  <c r="AO13" i="1" s="1"/>
  <c r="AM13" i="1"/>
  <c r="AL13" i="1"/>
  <c r="AI13" i="1"/>
  <c r="AF13" i="1"/>
  <c r="Z13" i="1"/>
  <c r="Y13" i="1"/>
  <c r="X13" i="1"/>
  <c r="G13" i="1" s="1"/>
  <c r="W13" i="1"/>
  <c r="M13" i="1"/>
  <c r="N13" i="1" s="1"/>
  <c r="O13" i="1" s="1"/>
  <c r="Q13" i="1" s="1"/>
  <c r="L13" i="1"/>
  <c r="H13" i="1"/>
  <c r="AO12" i="1"/>
  <c r="AN12" i="1"/>
  <c r="AM12" i="1"/>
  <c r="AL12" i="1"/>
  <c r="AI12" i="1"/>
  <c r="AF12" i="1"/>
  <c r="Z12" i="1"/>
  <c r="Y12" i="1"/>
  <c r="H12" i="1" s="1"/>
  <c r="X12" i="1"/>
  <c r="W12" i="1"/>
  <c r="N12" i="1"/>
  <c r="O12" i="1" s="1"/>
  <c r="Q12" i="1" s="1"/>
  <c r="M12" i="1"/>
  <c r="L12" i="1"/>
  <c r="G12" i="1"/>
  <c r="AO11" i="1"/>
  <c r="AN11" i="1"/>
  <c r="AM11" i="1"/>
  <c r="AL11" i="1"/>
  <c r="AI11" i="1"/>
  <c r="AF11" i="1"/>
  <c r="Z11" i="1"/>
  <c r="Y11" i="1"/>
  <c r="X11" i="1"/>
  <c r="W11" i="1"/>
  <c r="M11" i="1"/>
  <c r="L11" i="1"/>
  <c r="AK9" i="1"/>
  <c r="AJ9" i="1"/>
  <c r="AJ68" i="1" s="1"/>
  <c r="AH9" i="1"/>
  <c r="AG9" i="1"/>
  <c r="AG68" i="1" s="1"/>
  <c r="AF9" i="1"/>
  <c r="AE9" i="1"/>
  <c r="AE68" i="1" s="1"/>
  <c r="AF68" i="1" s="1"/>
  <c r="AD9" i="1"/>
  <c r="AD68" i="1" s="1"/>
  <c r="AA9" i="1"/>
  <c r="Y9" i="1"/>
  <c r="V9" i="1"/>
  <c r="Z9" i="1" s="1"/>
  <c r="U9" i="1"/>
  <c r="P9" i="1"/>
  <c r="F9" i="1"/>
  <c r="F68" i="1" s="1"/>
  <c r="E9" i="1"/>
  <c r="D9" i="1"/>
  <c r="C9" i="1"/>
  <c r="AO8" i="1"/>
  <c r="AN8" i="1"/>
  <c r="AM8" i="1"/>
  <c r="AL8" i="1"/>
  <c r="AI8" i="1"/>
  <c r="AF8" i="1"/>
  <c r="AA8" i="1"/>
  <c r="AA44" i="1" s="1"/>
  <c r="Z8" i="1"/>
  <c r="Y8" i="1"/>
  <c r="X8" i="1"/>
  <c r="W8" i="1"/>
  <c r="O8" i="1"/>
  <c r="Q8" i="1" s="1"/>
  <c r="L8" i="1"/>
  <c r="N8" i="1" s="1"/>
  <c r="H8" i="1"/>
  <c r="G8" i="1"/>
  <c r="AN7" i="1"/>
  <c r="AO7" i="1" s="1"/>
  <c r="AM7" i="1"/>
  <c r="AL7" i="1"/>
  <c r="AI7" i="1"/>
  <c r="AF7" i="1"/>
  <c r="Z7" i="1"/>
  <c r="Y7" i="1"/>
  <c r="X7" i="1"/>
  <c r="W7" i="1"/>
  <c r="L7" i="1"/>
  <c r="N7" i="1" s="1"/>
  <c r="O7" i="1" s="1"/>
  <c r="Q7" i="1" s="1"/>
  <c r="H7" i="1"/>
  <c r="G7" i="1"/>
  <c r="AN6" i="1"/>
  <c r="AO6" i="1" s="1"/>
  <c r="AM6" i="1"/>
  <c r="AL6" i="1"/>
  <c r="AI6" i="1"/>
  <c r="AF6" i="1"/>
  <c r="Z6" i="1"/>
  <c r="Y6" i="1"/>
  <c r="X6" i="1"/>
  <c r="W6" i="1"/>
  <c r="L6" i="1"/>
  <c r="N6" i="1" s="1"/>
  <c r="H6" i="1"/>
  <c r="G6" i="1"/>
  <c r="AN5" i="1"/>
  <c r="AO5" i="1" s="1"/>
  <c r="AM5" i="1"/>
  <c r="AL5" i="1"/>
  <c r="AI5" i="1"/>
  <c r="AF5" i="1"/>
  <c r="Z5" i="1"/>
  <c r="Y5" i="1"/>
  <c r="X5" i="1"/>
  <c r="W5" i="1"/>
  <c r="L5" i="1"/>
  <c r="N5" i="1" s="1"/>
  <c r="O5" i="1" s="1"/>
  <c r="Q5" i="1" s="1"/>
  <c r="R5" i="1" s="1"/>
  <c r="H5" i="1"/>
  <c r="H9" i="1" s="1"/>
  <c r="G5" i="1"/>
  <c r="AN4" i="1"/>
  <c r="AO4" i="1" s="1"/>
  <c r="AM4" i="1"/>
  <c r="AL4" i="1"/>
  <c r="AI4" i="1"/>
  <c r="AF4" i="1"/>
  <c r="Z4" i="1"/>
  <c r="Y4" i="1"/>
  <c r="X4" i="1"/>
  <c r="W4" i="1"/>
  <c r="O4" i="1"/>
  <c r="Q4" i="1" s="1"/>
  <c r="L4" i="1"/>
  <c r="N4" i="1" s="1"/>
  <c r="H4" i="1"/>
  <c r="G4" i="1"/>
  <c r="AN3" i="1"/>
  <c r="AO3" i="1" s="1"/>
  <c r="AM3" i="1"/>
  <c r="AL3" i="1"/>
  <c r="AI3" i="1"/>
  <c r="AF3" i="1"/>
  <c r="Z3" i="1"/>
  <c r="Y3" i="1"/>
  <c r="X3" i="1"/>
  <c r="X9" i="1" s="1"/>
  <c r="W3" i="1"/>
  <c r="O3" i="1"/>
  <c r="Q3" i="1" s="1"/>
  <c r="N3" i="1"/>
  <c r="L3" i="1"/>
  <c r="H3" i="1"/>
  <c r="G3" i="1"/>
  <c r="C68" i="1" l="1"/>
  <c r="D68" i="1"/>
  <c r="R44" i="1"/>
  <c r="AB33" i="1"/>
  <c r="R22" i="1"/>
  <c r="R13" i="1"/>
  <c r="AB44" i="1"/>
  <c r="AB22" i="1"/>
  <c r="R8" i="1"/>
  <c r="R33" i="1"/>
  <c r="AB13" i="1"/>
  <c r="AB8" i="1"/>
  <c r="R4" i="1"/>
  <c r="Q9" i="1"/>
  <c r="R7" i="1"/>
  <c r="R34" i="1"/>
  <c r="G9" i="1"/>
  <c r="AA49" i="1"/>
  <c r="AO14" i="1"/>
  <c r="R17" i="1"/>
  <c r="R28" i="1"/>
  <c r="N29" i="1"/>
  <c r="O20" i="1"/>
  <c r="AO29" i="1"/>
  <c r="AH68" i="1"/>
  <c r="AN9" i="1"/>
  <c r="AO9" i="1" s="1"/>
  <c r="AI9" i="1"/>
  <c r="Z16" i="1"/>
  <c r="N16" i="1"/>
  <c r="O16" i="1" s="1"/>
  <c r="Q16" i="1" s="1"/>
  <c r="AB40" i="1" s="1"/>
  <c r="W16" i="1"/>
  <c r="Y16" i="1"/>
  <c r="H16" i="1" s="1"/>
  <c r="L16" i="1"/>
  <c r="Y27" i="1"/>
  <c r="H27" i="1" s="1"/>
  <c r="V18" i="1"/>
  <c r="O31" i="1"/>
  <c r="O35" i="1"/>
  <c r="Q35" i="1" s="1"/>
  <c r="AB54" i="1"/>
  <c r="AB47" i="1"/>
  <c r="AM66" i="1"/>
  <c r="S66" i="1"/>
  <c r="O27" i="1"/>
  <c r="Q27" i="1" s="1"/>
  <c r="N11" i="1"/>
  <c r="R26" i="1"/>
  <c r="R46" i="1"/>
  <c r="R38" i="1"/>
  <c r="N9" i="1"/>
  <c r="H31" i="1"/>
  <c r="N66" i="1"/>
  <c r="AO66" i="1"/>
  <c r="AM9" i="1"/>
  <c r="S9" i="1"/>
  <c r="E68" i="1"/>
  <c r="S68" i="1" s="1"/>
  <c r="AL9" i="1"/>
  <c r="AK68" i="1"/>
  <c r="AL68" i="1" s="1"/>
  <c r="Q32" i="1"/>
  <c r="R48" i="1" s="1"/>
  <c r="O42" i="1"/>
  <c r="Y39" i="1"/>
  <c r="H39" i="1" s="1"/>
  <c r="O39" i="1" s="1"/>
  <c r="Q39" i="1" s="1"/>
  <c r="AB28" i="1" s="1"/>
  <c r="AB53" i="1"/>
  <c r="R53" i="1"/>
  <c r="G11" i="1"/>
  <c r="AB48" i="1"/>
  <c r="AB3" i="1"/>
  <c r="AB32" i="1"/>
  <c r="AB21" i="1"/>
  <c r="AB37" i="1"/>
  <c r="R25" i="1"/>
  <c r="R37" i="1"/>
  <c r="AB25" i="1"/>
  <c r="R3" i="1"/>
  <c r="O6" i="1"/>
  <c r="Q6" i="1" s="1"/>
  <c r="H11" i="1"/>
  <c r="H18" i="1" s="1"/>
  <c r="AB12" i="1"/>
  <c r="AA41" i="1"/>
  <c r="O34" i="1"/>
  <c r="Q34" i="1" s="1"/>
  <c r="AB34" i="1" s="1"/>
  <c r="R57" i="1"/>
  <c r="R55" i="1"/>
  <c r="R56" i="1"/>
  <c r="P68" i="1"/>
  <c r="Y15" i="1"/>
  <c r="H15" i="1" s="1"/>
  <c r="X17" i="1"/>
  <c r="G17" i="1" s="1"/>
  <c r="U18" i="1"/>
  <c r="AM18" i="1"/>
  <c r="AO18" i="1" s="1"/>
  <c r="X40" i="1"/>
  <c r="G40" i="1" s="1"/>
  <c r="G41" i="1" s="1"/>
  <c r="AM41" i="1"/>
  <c r="AO41" i="1" s="1"/>
  <c r="N43" i="1"/>
  <c r="N41" i="1"/>
  <c r="O51" i="1"/>
  <c r="X24" i="1"/>
  <c r="G24" i="1" s="1"/>
  <c r="G29" i="1" s="1"/>
  <c r="V49" i="1"/>
  <c r="V68" i="1" s="1"/>
  <c r="AN49" i="1"/>
  <c r="AO49" i="1" s="1"/>
  <c r="U66" i="1"/>
  <c r="Y24" i="1"/>
  <c r="H24" i="1" s="1"/>
  <c r="H29" i="1" s="1"/>
  <c r="L15" i="1"/>
  <c r="N15" i="1" s="1"/>
  <c r="O15" i="1" s="1"/>
  <c r="Q15" i="1" s="1"/>
  <c r="L43" i="1"/>
  <c r="R35" i="1" l="1"/>
  <c r="R24" i="1"/>
  <c r="G68" i="1"/>
  <c r="G69" i="1" s="1"/>
  <c r="AB6" i="1"/>
  <c r="AB26" i="1"/>
  <c r="AB38" i="1"/>
  <c r="R6" i="1"/>
  <c r="R9" i="1" s="1"/>
  <c r="O24" i="1"/>
  <c r="Q24" i="1" s="1"/>
  <c r="R15" i="1" s="1"/>
  <c r="Y41" i="1"/>
  <c r="O11" i="1"/>
  <c r="N18" i="1"/>
  <c r="Q31" i="1"/>
  <c r="Q41" i="1" s="1"/>
  <c r="O41" i="1"/>
  <c r="R45" i="1"/>
  <c r="R21" i="1"/>
  <c r="AB16" i="1"/>
  <c r="Y18" i="1"/>
  <c r="AN68" i="1"/>
  <c r="AO68" i="1" s="1"/>
  <c r="AI68" i="1"/>
  <c r="AM68" i="1"/>
  <c r="AB23" i="1"/>
  <c r="G18" i="1"/>
  <c r="L18" i="1"/>
  <c r="L68" i="1" s="1"/>
  <c r="AA68" i="1"/>
  <c r="AB14" i="1"/>
  <c r="AB39" i="1"/>
  <c r="Z18" i="1"/>
  <c r="X18" i="1"/>
  <c r="O9" i="1"/>
  <c r="Z49" i="1"/>
  <c r="AB45" i="1"/>
  <c r="AB17" i="1"/>
  <c r="O66" i="1"/>
  <c r="Q51" i="1"/>
  <c r="X41" i="1"/>
  <c r="X29" i="1"/>
  <c r="Y29" i="1"/>
  <c r="O30" i="1"/>
  <c r="O29" i="1"/>
  <c r="Q20" i="1"/>
  <c r="Q29" i="1" s="1"/>
  <c r="R14" i="1"/>
  <c r="R12" i="1"/>
  <c r="R47" i="1"/>
  <c r="R39" i="1"/>
  <c r="R27" i="1"/>
  <c r="R16" i="1"/>
  <c r="R23" i="1"/>
  <c r="R32" i="1"/>
  <c r="AB27" i="1"/>
  <c r="N49" i="1"/>
  <c r="N68" i="1" s="1"/>
  <c r="N69" i="1" s="1"/>
  <c r="O43" i="1"/>
  <c r="Z66" i="1"/>
  <c r="U68" i="1"/>
  <c r="Z68" i="1" s="1"/>
  <c r="H41" i="1"/>
  <c r="H68" i="1" s="1"/>
  <c r="H69" i="1" s="1"/>
  <c r="AB7" i="1"/>
  <c r="O49" i="1" l="1"/>
  <c r="O50" i="1" s="1"/>
  <c r="Q43" i="1"/>
  <c r="AB62" i="1" s="1"/>
  <c r="X68" i="1"/>
  <c r="AB56" i="1"/>
  <c r="R51" i="1"/>
  <c r="R66" i="1" s="1"/>
  <c r="Q66" i="1"/>
  <c r="O68" i="1"/>
  <c r="O69" i="1" s="1"/>
  <c r="O67" i="1"/>
  <c r="Y68" i="1"/>
  <c r="AB63" i="1"/>
  <c r="AB58" i="1"/>
  <c r="AB57" i="1"/>
  <c r="AB60" i="1"/>
  <c r="Q11" i="1"/>
  <c r="O18" i="1"/>
  <c r="AB5" i="1"/>
  <c r="AB52" i="1"/>
  <c r="AB36" i="1"/>
  <c r="O19" i="1"/>
  <c r="O10" i="1"/>
  <c r="AB61" i="1"/>
  <c r="AB64" i="1"/>
  <c r="AB4" i="1" l="1"/>
  <c r="AB9" i="1" s="1"/>
  <c r="Q68" i="1"/>
  <c r="Q69" i="1" s="1"/>
  <c r="AB24" i="1"/>
  <c r="Q49" i="1"/>
  <c r="R43" i="1"/>
  <c r="R49" i="1" s="1"/>
  <c r="R68" i="1" s="1"/>
  <c r="AB59" i="1"/>
  <c r="AB65" i="1"/>
  <c r="AB15" i="1"/>
  <c r="AB35" i="1"/>
  <c r="AB55" i="1"/>
  <c r="AB43" i="1"/>
  <c r="AB49" i="1" s="1"/>
  <c r="R31" i="1"/>
  <c r="R41" i="1" s="1"/>
  <c r="Q18" i="1"/>
  <c r="R20" i="1"/>
  <c r="R29" i="1" s="1"/>
  <c r="AB11" i="1"/>
  <c r="AB51" i="1"/>
  <c r="AB66" i="1" s="1"/>
  <c r="AB31" i="1"/>
  <c r="AB41" i="1" s="1"/>
  <c r="AB20" i="1"/>
  <c r="AB29" i="1" s="1"/>
  <c r="R11" i="1"/>
  <c r="R18" i="1" s="1"/>
  <c r="AB18" i="1" l="1"/>
  <c r="AB6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tc={C7CD2F41-F614-418D-8D15-683CE55B1F46}</author>
    <author>tc={6C9E8C25-DACF-49B0-8455-59742D3F943F}</author>
    <author>tc={8D355759-20A6-4D14-A824-BC87AA7D7289}</author>
    <author>tc={D785EC00-742C-40D2-884A-30F67D048F11}</author>
    <author>tc={C9183442-F963-49B7-8808-F2FE7E4029BF}</author>
    <author>tc={A6067064-817E-4CCF-B38D-93BB5F487414}</author>
    <author>tc={2B3566CB-5A13-4C75-AD59-DF3B172EF741}</author>
    <author>tc={204428D1-AC9F-4611-BC10-2FF77AF18A26}</author>
    <author>tc={CB32C9AB-7AB7-4EF0-9146-02C92D459ABD}</author>
    <author>tc={1D3F06DA-160B-445E-A478-B70E63F24988}</author>
    <author>tc={E8707614-C7DF-45D9-8ADD-98EB28AFAF68}</author>
    <author>tc={2315EF35-4DA9-44DF-AB84-6712F2A4BFBA}</author>
    <author>tc={AD260D68-24FF-4C6D-B967-2B32065F7FC0}</author>
  </authors>
  <commentList>
    <comment ref="B11" authorId="0" shapeId="0" xr:uid="{C7CD2F41-F614-418D-8D15-683CE55B1F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soir</t>
      </text>
    </comment>
    <comment ref="B12" authorId="1" shapeId="0" xr:uid="{6C9E8C25-DACF-49B0-8455-59742D3F94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Vendredi soir (11 - 13 ans)</t>
      </text>
    </comment>
    <comment ref="B13" authorId="2" shapeId="0" xr:uid="{8D355759-20A6-4D14-A824-BC87AA7D728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Soir</t>
      </text>
    </comment>
    <comment ref="B14" authorId="3" shapeId="0" xr:uid="{D785EC00-742C-40D2-884A-30F67D048F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Soir</t>
      </text>
    </comment>
    <comment ref="B15" authorId="4" shapeId="0" xr:uid="{C9183442-F963-49B7-8808-F2FE7E4029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Matin midi soir</t>
      </text>
    </comment>
    <comment ref="B16" authorId="5" shapeId="0" xr:uid="{A6067064-817E-4CCF-B38D-93BB5F4874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Matin Soir</t>
      </text>
    </comment>
    <comment ref="B17" authorId="6" shapeId="0" xr:uid="{2B3566CB-5A13-4C75-AD59-DF3B172EF74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Matin midi soir</t>
      </text>
    </comment>
    <comment ref="B43" authorId="7" shapeId="0" xr:uid="{204428D1-AC9F-4611-BC10-2FF77AF18A2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Mercredi + soir + vacances</t>
      </text>
    </comment>
    <comment ref="B44" authorId="8" shapeId="0" xr:uid="{CB32C9AB-7AB7-4EF0-9146-02C92D459AB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Vendredi soir + vacances</t>
      </text>
    </comment>
    <comment ref="B45" authorId="9" shapeId="0" xr:uid="{1D3F06DA-160B-445E-A478-B70E63F249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Vacances</t>
      </text>
    </comment>
    <comment ref="B46" authorId="10" shapeId="0" xr:uid="{E8707614-C7DF-45D9-8ADD-98EB28AFAF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Vacances</t>
      </text>
    </comment>
    <comment ref="B47" authorId="11" shapeId="0" xr:uid="{2315EF35-4DA9-44DF-AB84-6712F2A4BF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Vendredi soir + vacances</t>
      </text>
    </comment>
    <comment ref="B48" authorId="12" shapeId="0" xr:uid="{AD260D68-24FF-4C6D-B967-2B32065F7F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Vendredi soir + vacances</t>
      </text>
    </comment>
  </commentList>
</comments>
</file>

<file path=xl/sharedStrings.xml><?xml version="1.0" encoding="utf-8"?>
<sst xmlns="http://schemas.openxmlformats.org/spreadsheetml/2006/main" count="209" uniqueCount="129">
  <si>
    <t>Commune</t>
  </si>
  <si>
    <t>Structure / Association</t>
  </si>
  <si>
    <t>2025 (Acté)</t>
  </si>
  <si>
    <t>2026 (Demandé total association)</t>
  </si>
  <si>
    <t>2025 demandé par structure</t>
  </si>
  <si>
    <t>2026 demandé par activité</t>
  </si>
  <si>
    <t>Commentaire Commission</t>
  </si>
  <si>
    <t>Valorisation max d el'heure</t>
  </si>
  <si>
    <t>Valorisation min de l'heure</t>
  </si>
  <si>
    <t>Valorisation de l'heure</t>
  </si>
  <si>
    <t>Valorisation du service = frais fixes</t>
  </si>
  <si>
    <t>Subvention neutre</t>
  </si>
  <si>
    <t>Proposition Maxime</t>
  </si>
  <si>
    <t>Aide exceptionnelle</t>
  </si>
  <si>
    <t>Subvention finale 2026</t>
  </si>
  <si>
    <t>Subvention finale 2026 cumulée asso</t>
  </si>
  <si>
    <t>Évolution Subv.</t>
  </si>
  <si>
    <t>Justification subvention</t>
  </si>
  <si>
    <t>Heures 2024</t>
  </si>
  <si>
    <t>Heures 2025</t>
  </si>
  <si>
    <t>Personnel minimum 2025</t>
  </si>
  <si>
    <t>Heures Totales 2024</t>
  </si>
  <si>
    <t>Heures totales 2025</t>
  </si>
  <si>
    <t>Evolution Heures 24-25</t>
  </si>
  <si>
    <t>Résultat 2025</t>
  </si>
  <si>
    <t>Cumulé par ville</t>
  </si>
  <si>
    <t>Evolution par ville</t>
  </si>
  <si>
    <t>Total des charges 2025</t>
  </si>
  <si>
    <t>Total des charges 2026</t>
  </si>
  <si>
    <t>Evolution des charges</t>
  </si>
  <si>
    <t>Total des produits 2025</t>
  </si>
  <si>
    <t>Total des produits 2026</t>
  </si>
  <si>
    <t>Evolution des produits</t>
  </si>
  <si>
    <t>Charges de personnel 2025</t>
  </si>
  <si>
    <t>Charges de personnel 2026</t>
  </si>
  <si>
    <t>Evolution des charges du personnel</t>
  </si>
  <si>
    <t>Total produit sans ccmvr 2025</t>
  </si>
  <si>
    <t>Total produit sans ccmvr 2026</t>
  </si>
  <si>
    <t>Evolution total produit sans ccmvr</t>
  </si>
  <si>
    <t>Trésorerie (Jours de charges)</t>
  </si>
  <si>
    <t>Trésorerie (Jours de charges avec tous les actifs circulants)</t>
  </si>
  <si>
    <t>CRÈCHES ET MICRO-CRÈCHES</t>
  </si>
  <si>
    <t>Beauzac</t>
  </si>
  <si>
    <t>Crèche Au royaume des lutins</t>
  </si>
  <si>
    <t>OK</t>
  </si>
  <si>
    <t>Monistrol/Loire</t>
  </si>
  <si>
    <t>Les 6 loupiots en Marches Micro-crèche</t>
  </si>
  <si>
    <t>sub entre 45k et 93k (bonus attractivité)</t>
  </si>
  <si>
    <t>Crèche Les Marmousets</t>
  </si>
  <si>
    <t>St Pal de Mons</t>
  </si>
  <si>
    <t>Crèche Pirouette</t>
  </si>
  <si>
    <t>(attention provision contrôle CAF et inaptitude) 100k</t>
  </si>
  <si>
    <t>Ste Sigolène</t>
  </si>
  <si>
    <t>Crèche Toboggan</t>
  </si>
  <si>
    <t>La Chapelle d'Aurec</t>
  </si>
  <si>
    <t>Echap' toi</t>
  </si>
  <si>
    <t>45k</t>
  </si>
  <si>
    <t>SOUS-TOTAL</t>
  </si>
  <si>
    <t>ALSH (PÉRISCOLAIRE MATIN MIDI ET SOIR)</t>
  </si>
  <si>
    <t>Bas-en-Basset</t>
  </si>
  <si>
    <t>ALSH Arc en Jeux</t>
  </si>
  <si>
    <t>Cap Evasion</t>
  </si>
  <si>
    <t>Demande d'augmentation des tarifs / 95k</t>
  </si>
  <si>
    <t>Les Villettes</t>
  </si>
  <si>
    <t>Oxygène</t>
  </si>
  <si>
    <t>OK (à voir evolution financier et fermture de classe)</t>
  </si>
  <si>
    <t>ALSH Le Beauvoir</t>
  </si>
  <si>
    <t>Club Jeunesse</t>
  </si>
  <si>
    <t>St Pal de Chalencon</t>
  </si>
  <si>
    <t>ALSH Les têtes en l'air</t>
  </si>
  <si>
    <t>Les Sympas loups</t>
  </si>
  <si>
    <t>Planet'air</t>
  </si>
  <si>
    <t>La Magie du Jeu</t>
  </si>
  <si>
    <t>ALSH (PÉRISCOLAIRE &amp; EXTRASCOLAIRE)</t>
  </si>
  <si>
    <t>ALSH (PÉRISCOLAIRE MERCREDI)</t>
  </si>
  <si>
    <t>ALSH (EXTRASCOLAIRE)</t>
  </si>
  <si>
    <t>ACCUEIL AL ADOS (JEUNESSE)</t>
  </si>
  <si>
    <t>MJC LE MONTEIL</t>
  </si>
  <si>
    <t>ACCUEIL ADOS (JEUNESSE)</t>
  </si>
  <si>
    <t>RPE, LUDOTHÈQUE &amp; AUTRES</t>
  </si>
  <si>
    <t>RPE La Farandole</t>
  </si>
  <si>
    <t>RPE 6 loupiots</t>
  </si>
  <si>
    <t>Intercommunal</t>
  </si>
  <si>
    <t>L'accueil (ADAAFAM)</t>
  </si>
  <si>
    <t>Mission déjà financé par le RPE</t>
  </si>
  <si>
    <t>Ludothèque Ricochet</t>
  </si>
  <si>
    <t>16000 (identique CAF)</t>
  </si>
  <si>
    <t>ACIJA / PIJ, Eurodesk et Guid'assos</t>
  </si>
  <si>
    <t>ACIJA / PAEJ</t>
  </si>
  <si>
    <t>Arrêt de financement de l'uerodesk et guidasso, financmeent d'un demi ETP PIJ pour financer des actions concrètes jeunesse sur le territoire</t>
  </si>
  <si>
    <t>ACIJA / CLAS</t>
  </si>
  <si>
    <t>Mission Locale / Permanence prévention jeunesse</t>
  </si>
  <si>
    <t>CIDFF / prévention et actions droit des femmes</t>
  </si>
  <si>
    <t>Pas de plue-value 2026</t>
  </si>
  <si>
    <t>Sourirs à l'hirondelle / Activité enfants hospitalisés</t>
  </si>
  <si>
    <t>Financement annexe d'un service hospitalier</t>
  </si>
  <si>
    <t>La clef 43 / Accompagnement logement</t>
  </si>
  <si>
    <t>Pas de budget, pas de demande de subvention formelle</t>
  </si>
  <si>
    <t>Planning familial / Prévention familles</t>
  </si>
  <si>
    <t>Salaire animatrice (intervention école)</t>
  </si>
  <si>
    <t>ADIL</t>
  </si>
  <si>
    <t>Pas de demande ATM</t>
  </si>
  <si>
    <t>Justice et partage</t>
  </si>
  <si>
    <t>Relais</t>
  </si>
  <si>
    <t>TOTAL GÉNÉRAL</t>
  </si>
  <si>
    <t>PÔLE ENFANCE JEUNESSE</t>
  </si>
  <si>
    <t>Demandé total</t>
  </si>
  <si>
    <t>enfants</t>
  </si>
  <si>
    <t>par enfant</t>
  </si>
  <si>
    <t>tier</t>
  </si>
  <si>
    <t>1 agent pour 8h/semaine pendant 36 semaine</t>
  </si>
  <si>
    <t>1 agent pour 50h/semaine pendant 13 semaines</t>
  </si>
  <si>
    <t>1 agent CEE 50h/semaine pendant 13 semaines</t>
  </si>
  <si>
    <t>1 agent 50h/semaine pendant 47 semaines</t>
  </si>
  <si>
    <t>1 agent pour 10h/semaine pendant 36 semanes</t>
  </si>
  <si>
    <t>1 agent pour soir (peri)</t>
  </si>
  <si>
    <t>Subventions demandées</t>
  </si>
  <si>
    <t>Subventions accordées</t>
  </si>
  <si>
    <t>Subvention en nature</t>
  </si>
  <si>
    <t>Saint pal de Mons</t>
  </si>
  <si>
    <t>Sainte Sigolène</t>
  </si>
  <si>
    <t>Crèche</t>
  </si>
  <si>
    <t>Base</t>
  </si>
  <si>
    <t>Explication</t>
  </si>
  <si>
    <t>Activité</t>
  </si>
  <si>
    <t>Exemple</t>
  </si>
  <si>
    <t>minimum de 100h/semaines x 47 semaines x 22€/h</t>
  </si>
  <si>
    <t xml:space="preserve">         2€40                    à                               2€70
Grosse structure                             Petite structure
Economies d'echelle           Pas d'économie d'echelle</t>
  </si>
  <si>
    <t>34467
minimum de 
100h/semaines 
x 
47 semaines 
x 
22€/h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</si>
</sst>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\ ##0\ \€"/>
    <numFmt numFmtId="165" formatCode="\+\ 0.00%;\-\ 0.00%;0.00%"/>
    <numFmt numFmtId="166" formatCode="#\ ##0\ &quot;h&quot;"/>
    <numFmt numFmtId="167" formatCode="#\ ##0\ &quot;j&quot;"/>
    <numFmt numFmtId="168" formatCode="#.##\ \€"/>
    <numFmt numFmtId="169" formatCode="#,##0\ &quot;€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rgb="FF1F497D"/>
      <name val="Segoe UI"/>
      <family val="2"/>
    </font>
    <font>
      <b/>
      <sz val="10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4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167" fontId="2" fillId="2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5" fillId="5" borderId="0" xfId="0" applyFont="1" applyFill="1"/>
    <xf numFmtId="0" fontId="4" fillId="5" borderId="0" xfId="0" applyFont="1" applyFill="1"/>
    <xf numFmtId="164" fontId="4" fillId="5" borderId="0" xfId="0" applyNumberFormat="1" applyFont="1" applyFill="1"/>
    <xf numFmtId="165" fontId="4" fillId="5" borderId="0" xfId="0" applyNumberFormat="1" applyFont="1" applyFill="1"/>
    <xf numFmtId="166" fontId="4" fillId="5" borderId="0" xfId="0" applyNumberFormat="1" applyFont="1" applyFill="1"/>
    <xf numFmtId="167" fontId="4" fillId="5" borderId="0" xfId="0" applyNumberFormat="1" applyFont="1" applyFill="1"/>
    <xf numFmtId="164" fontId="4" fillId="0" borderId="0" xfId="0" applyNumberFormat="1" applyFont="1"/>
    <xf numFmtId="2" fontId="4" fillId="0" borderId="0" xfId="0" applyNumberFormat="1" applyFont="1" applyAlignment="1">
      <alignment horizontal="right" vertical="center"/>
    </xf>
    <xf numFmtId="165" fontId="4" fillId="0" borderId="0" xfId="0" applyNumberFormat="1" applyFont="1"/>
    <xf numFmtId="166" fontId="4" fillId="0" borderId="0" xfId="0" applyNumberFormat="1" applyFont="1"/>
    <xf numFmtId="2" fontId="4" fillId="0" borderId="0" xfId="0" applyNumberFormat="1" applyFont="1"/>
    <xf numFmtId="44" fontId="4" fillId="0" borderId="0" xfId="1" applyFont="1"/>
    <xf numFmtId="167" fontId="4" fillId="0" borderId="0" xfId="0" applyNumberFormat="1" applyFont="1"/>
    <xf numFmtId="0" fontId="6" fillId="6" borderId="0" xfId="0" applyFont="1" applyFill="1"/>
    <xf numFmtId="164" fontId="6" fillId="6" borderId="0" xfId="0" applyNumberFormat="1" applyFont="1" applyFill="1"/>
    <xf numFmtId="165" fontId="6" fillId="6" borderId="0" xfId="0" applyNumberFormat="1" applyFont="1" applyFill="1"/>
    <xf numFmtId="166" fontId="6" fillId="6" borderId="0" xfId="0" applyNumberFormat="1" applyFont="1" applyFill="1"/>
    <xf numFmtId="167" fontId="6" fillId="6" borderId="0" xfId="0" applyNumberFormat="1" applyFont="1" applyFill="1"/>
    <xf numFmtId="168" fontId="4" fillId="0" borderId="0" xfId="0" applyNumberFormat="1" applyFont="1"/>
    <xf numFmtId="164" fontId="4" fillId="4" borderId="0" xfId="0" applyNumberFormat="1" applyFont="1" applyFill="1"/>
    <xf numFmtId="0" fontId="4" fillId="0" borderId="0" xfId="1" applyNumberFormat="1" applyFont="1"/>
    <xf numFmtId="0" fontId="6" fillId="7" borderId="0" xfId="0" applyFont="1" applyFill="1"/>
    <xf numFmtId="164" fontId="6" fillId="7" borderId="0" xfId="0" applyNumberFormat="1" applyFont="1" applyFill="1"/>
    <xf numFmtId="165" fontId="6" fillId="7" borderId="0" xfId="0" applyNumberFormat="1" applyFont="1" applyFill="1"/>
    <xf numFmtId="166" fontId="6" fillId="7" borderId="0" xfId="0" applyNumberFormat="1" applyFont="1" applyFill="1"/>
    <xf numFmtId="169" fontId="2" fillId="2" borderId="0" xfId="0" applyNumberFormat="1" applyFont="1" applyFill="1" applyAlignment="1">
      <alignment horizontal="center" vertical="center" wrapText="1"/>
    </xf>
    <xf numFmtId="169" fontId="4" fillId="5" borderId="0" xfId="0" applyNumberFormat="1" applyFont="1" applyFill="1"/>
    <xf numFmtId="0" fontId="4" fillId="8" borderId="0" xfId="0" applyFont="1" applyFill="1"/>
    <xf numFmtId="169" fontId="4" fillId="0" borderId="0" xfId="0" applyNumberFormat="1" applyFont="1"/>
    <xf numFmtId="169" fontId="6" fillId="6" borderId="0" xfId="0" applyNumberFormat="1" applyFont="1" applyFill="1"/>
    <xf numFmtId="164" fontId="4" fillId="9" borderId="0" xfId="0" applyNumberFormat="1" applyFont="1" applyFill="1"/>
    <xf numFmtId="169" fontId="6" fillId="7" borderId="0" xfId="0" applyNumberFormat="1" applyFont="1" applyFill="1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Monétaire" xfId="1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ime Jacquiot" id="{3DE6F704-2E60-4081-8140-281B668AF52F}" userId="S::mjacquiot@marchesduvelayrochebaron.fr::f1a0776c-cc73-4e9d-979a-d95300bec8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6-04-21T08:03:17.78" personId="{3DE6F704-2E60-4081-8140-281B668AF52F}" id="{C7CD2F41-F614-418D-8D15-683CE55B1F46}">
    <text>soir</text>
  </threadedComment>
  <threadedComment ref="B12" dT="2026-04-21T08:03:36.13" personId="{3DE6F704-2E60-4081-8140-281B668AF52F}" id="{6C9E8C25-DACF-49B0-8455-59742D3F943F}">
    <text>Vendredi soir (11 - 13 ans)</text>
  </threadedComment>
  <threadedComment ref="B13" dT="2026-04-21T08:03:43.31" personId="{3DE6F704-2E60-4081-8140-281B668AF52F}" id="{8D355759-20A6-4D14-A824-BC87AA7D7289}">
    <text>Soir</text>
  </threadedComment>
  <threadedComment ref="B14" dT="2026-04-21T08:03:54.35" personId="{3DE6F704-2E60-4081-8140-281B668AF52F}" id="{D785EC00-742C-40D2-884A-30F67D048F11}">
    <text>Soir</text>
  </threadedComment>
  <threadedComment ref="B15" dT="2026-04-21T08:04:05.91" personId="{3DE6F704-2E60-4081-8140-281B668AF52F}" id="{C9183442-F963-49B7-8808-F2FE7E4029BF}">
    <text>Matin midi soir</text>
  </threadedComment>
  <threadedComment ref="B16" dT="2026-04-21T08:05:41.43" personId="{3DE6F704-2E60-4081-8140-281B668AF52F}" id="{A6067064-817E-4CCF-B38D-93BB5F487414}">
    <text>Matin Soir</text>
  </threadedComment>
  <threadedComment ref="B17" dT="2026-04-21T08:05:03.13" personId="{3DE6F704-2E60-4081-8140-281B668AF52F}" id="{2B3566CB-5A13-4C75-AD59-DF3B172EF741}">
    <text>Matin midi soir</text>
  </threadedComment>
  <threadedComment ref="B43" dT="2026-04-21T08:44:42.45" personId="{3DE6F704-2E60-4081-8140-281B668AF52F}" id="{204428D1-AC9F-4611-BC10-2FF77AF18A26}">
    <text>Mercredi + soir + vacances</text>
  </threadedComment>
  <threadedComment ref="B44" dT="2026-04-21T08:44:57.93" personId="{3DE6F704-2E60-4081-8140-281B668AF52F}" id="{CB32C9AB-7AB7-4EF0-9146-02C92D459ABD}">
    <text>Vendredi soir + vacances</text>
  </threadedComment>
  <threadedComment ref="B45" dT="2026-04-21T08:45:46.57" personId="{3DE6F704-2E60-4081-8140-281B668AF52F}" id="{1D3F06DA-160B-445E-A478-B70E63F24988}">
    <text>Vacances</text>
  </threadedComment>
  <threadedComment ref="B46" dT="2026-04-21T08:49:27.53" personId="{3DE6F704-2E60-4081-8140-281B668AF52F}" id="{E8707614-C7DF-45D9-8ADD-98EB28AFAF68}">
    <text>Vacances</text>
  </threadedComment>
  <threadedComment ref="B47" dT="2026-04-21T08:50:07.30" personId="{3DE6F704-2E60-4081-8140-281B668AF52F}" id="{2315EF35-4DA9-44DF-AB84-6712F2A4BFBA}">
    <text>Vendredi soir + vacances</text>
  </threadedComment>
  <threadedComment ref="B48" dT="2026-04-21T08:50:52.11" personId="{3DE6F704-2E60-4081-8140-281B668AF52F}" id="{AD260D68-24FF-4C6D-B967-2B32065F7FC0}">
    <text>Vendredi soir + vacances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zoomScale="85" zoomScaleNormal="85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M3" sqref="M3"/>
    </sheetView>
  </sheetViews>
  <sheetFormatPr baseColWidth="10" defaultColWidth="11.42578125" defaultRowHeight="14.25" x14ac:dyDescent="0.25"/>
  <cols>
    <col min="1" max="1" width="35.7109375" style="8" customWidth="1"/>
    <col min="2" max="2" width="44.85546875" style="8" bestFit="1" customWidth="1"/>
    <col min="3" max="4" width="10.140625" style="15" bestFit="1" customWidth="1"/>
    <col min="5" max="6" width="10.85546875" style="15" bestFit="1" customWidth="1"/>
    <col min="7" max="8" width="10.85546875" style="15" customWidth="1"/>
    <col min="9" max="11" width="10" style="8" customWidth="1"/>
    <col min="12" max="12" width="11.5703125" style="8" bestFit="1" customWidth="1"/>
    <col min="13" max="13" width="11.5703125" style="37" customWidth="1"/>
    <col min="14" max="14" width="11.140625" style="15" bestFit="1" customWidth="1"/>
    <col min="15" max="15" width="11.42578125" style="15" bestFit="1" customWidth="1"/>
    <col min="16" max="16" width="15.42578125" style="15" customWidth="1"/>
    <col min="17" max="18" width="11" style="15" bestFit="1" customWidth="1"/>
    <col min="19" max="19" width="14.140625" style="17" bestFit="1" customWidth="1"/>
    <col min="20" max="20" width="11.7109375" style="17" customWidth="1"/>
    <col min="21" max="21" width="9.85546875" style="18" bestFit="1" customWidth="1"/>
    <col min="22" max="22" width="11.7109375" style="18" customWidth="1"/>
    <col min="23" max="23" width="9.7109375" style="18" customWidth="1"/>
    <col min="24" max="25" width="11" style="18" bestFit="1" customWidth="1"/>
    <col min="26" max="26" width="10.42578125" style="17" bestFit="1" customWidth="1"/>
    <col min="27" max="27" width="11.85546875" style="15" bestFit="1" customWidth="1"/>
    <col min="28" max="28" width="11.140625" style="15" bestFit="1" customWidth="1"/>
    <col min="29" max="29" width="9.42578125" style="17" bestFit="1" customWidth="1"/>
    <col min="30" max="31" width="11" style="15" bestFit="1" customWidth="1"/>
    <col min="32" max="32" width="10.140625" style="15" customWidth="1"/>
    <col min="33" max="34" width="11" style="15" bestFit="1" customWidth="1"/>
    <col min="35" max="35" width="10.140625" style="15" customWidth="1"/>
    <col min="36" max="37" width="11" style="15" bestFit="1" customWidth="1"/>
    <col min="38" max="38" width="10.7109375" style="15" customWidth="1"/>
    <col min="39" max="40" width="14.85546875" style="15" bestFit="1" customWidth="1"/>
    <col min="41" max="41" width="10.7109375" style="15" customWidth="1"/>
    <col min="42" max="42" width="11" style="21" bestFit="1" customWidth="1"/>
    <col min="43" max="16384" width="11.42578125" style="8"/>
  </cols>
  <sheetData>
    <row r="1" spans="1:43" ht="85.5" x14ac:dyDescent="0.25">
      <c r="A1" s="1" t="s">
        <v>0</v>
      </c>
      <c r="B1" s="1" t="s">
        <v>1</v>
      </c>
      <c r="C1" s="1">
        <v>2023</v>
      </c>
      <c r="D1" s="1">
        <v>2024</v>
      </c>
      <c r="E1" s="2" t="s">
        <v>2</v>
      </c>
      <c r="F1" s="2" t="s">
        <v>3</v>
      </c>
      <c r="G1" s="3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4" t="s">
        <v>10</v>
      </c>
      <c r="N1" s="4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5" t="s">
        <v>16</v>
      </c>
      <c r="T1" s="5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5" t="s">
        <v>23</v>
      </c>
      <c r="AA1" s="2" t="s">
        <v>24</v>
      </c>
      <c r="AB1" s="2" t="s">
        <v>25</v>
      </c>
      <c r="AC1" s="5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7" t="s">
        <v>39</v>
      </c>
      <c r="AQ1" s="7" t="s">
        <v>40</v>
      </c>
    </row>
    <row r="2" spans="1:43" x14ac:dyDescent="0.25">
      <c r="A2" s="9" t="s">
        <v>41</v>
      </c>
      <c r="B2" s="10"/>
      <c r="C2" s="11"/>
      <c r="D2" s="11"/>
      <c r="E2" s="11"/>
      <c r="F2" s="11"/>
      <c r="G2" s="11"/>
      <c r="H2" s="11"/>
      <c r="I2" s="10"/>
      <c r="J2" s="10"/>
      <c r="K2" s="10"/>
      <c r="L2" s="10"/>
      <c r="M2" s="35"/>
      <c r="N2" s="11"/>
      <c r="O2" s="11"/>
      <c r="P2" s="11"/>
      <c r="Q2" s="11"/>
      <c r="R2" s="11"/>
      <c r="S2" s="12"/>
      <c r="T2" s="12"/>
      <c r="U2" s="13"/>
      <c r="V2" s="13"/>
      <c r="W2" s="13"/>
      <c r="X2" s="13"/>
      <c r="Y2" s="13"/>
      <c r="Z2" s="12"/>
      <c r="AA2" s="11"/>
      <c r="AB2" s="11"/>
      <c r="AC2" s="12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4"/>
    </row>
    <row r="3" spans="1:43" x14ac:dyDescent="0.25">
      <c r="A3" s="8" t="s">
        <v>42</v>
      </c>
      <c r="B3" s="36" t="s">
        <v>43</v>
      </c>
      <c r="C3" s="15">
        <v>77300</v>
      </c>
      <c r="D3" s="15">
        <v>83300</v>
      </c>
      <c r="E3" s="15">
        <v>83300</v>
      </c>
      <c r="F3" s="15">
        <v>93300</v>
      </c>
      <c r="G3" s="15">
        <f>E3</f>
        <v>83300</v>
      </c>
      <c r="H3" s="15">
        <f>F3</f>
        <v>93300</v>
      </c>
      <c r="I3" s="8" t="s">
        <v>44</v>
      </c>
      <c r="J3" s="8">
        <v>2.7</v>
      </c>
      <c r="K3" s="8">
        <v>2.4</v>
      </c>
      <c r="L3" s="16">
        <f>MAX(K3, J3 - (V3 * (J3 - K3) / 60000))</f>
        <v>2.536435</v>
      </c>
      <c r="M3" s="37">
        <v>34467</v>
      </c>
      <c r="N3" s="15">
        <f>IF(V3&gt;0,M3+V3*MAX(3,3.5-(V3*((3.5-3)/56000))),0)</f>
        <v>139407.67527678574</v>
      </c>
      <c r="O3" s="15">
        <f>IF(N3&gt;H3,H3,N3)</f>
        <v>93300</v>
      </c>
      <c r="Q3" s="15">
        <f>O3+P3</f>
        <v>93300</v>
      </c>
      <c r="R3" s="15">
        <f t="shared" ref="R3:R8" si="0">SUMIF(B:B,B3,Q:Q)</f>
        <v>93300</v>
      </c>
      <c r="S3" s="17">
        <v>0.12</v>
      </c>
      <c r="U3" s="18">
        <v>34440</v>
      </c>
      <c r="V3" s="18">
        <v>32713</v>
      </c>
      <c r="W3" s="19">
        <f>V3/55/48/6</f>
        <v>2.0652146464646464</v>
      </c>
      <c r="X3" s="18">
        <f>U3</f>
        <v>34440</v>
      </c>
      <c r="Y3" s="18">
        <f>V3</f>
        <v>32713</v>
      </c>
      <c r="Z3" s="17">
        <f t="shared" ref="Z3:Z8" si="1">IF(AND(ISNUMBER(U3), U3&gt;0), (V3-U3)/U3, "")</f>
        <v>-5.0145180023228805E-2</v>
      </c>
      <c r="AA3" s="15">
        <v>37661</v>
      </c>
      <c r="AB3" s="15">
        <f t="shared" ref="AB3:AB8" si="2">SUMIF(A:A,A3,Q:Q)</f>
        <v>174647.41519890921</v>
      </c>
      <c r="AC3" s="17">
        <v>6.0199999999999997E-2</v>
      </c>
      <c r="AD3" s="15">
        <v>416006</v>
      </c>
      <c r="AE3" s="15">
        <v>426800</v>
      </c>
      <c r="AF3" s="17">
        <f>(AE3-AD3)/AD3</f>
        <v>2.5946741152771836E-2</v>
      </c>
      <c r="AG3" s="15">
        <v>453667</v>
      </c>
      <c r="AH3" s="15">
        <v>394500</v>
      </c>
      <c r="AI3" s="17">
        <f>(AH3-AG3)/AG3</f>
        <v>-0.13041944862641541</v>
      </c>
      <c r="AJ3" s="15">
        <v>339102</v>
      </c>
      <c r="AK3" s="15">
        <v>344100</v>
      </c>
      <c r="AL3" s="17">
        <f>(AK3-AJ3)/AJ3</f>
        <v>1.4738928110126157E-2</v>
      </c>
      <c r="AM3" s="20">
        <f t="shared" ref="AM3:AN9" si="3">AG3-E3</f>
        <v>370367</v>
      </c>
      <c r="AN3" s="20">
        <f t="shared" si="3"/>
        <v>301200</v>
      </c>
      <c r="AO3" s="17">
        <f>(AN3-AM3)/AM3</f>
        <v>-0.18675259944865499</v>
      </c>
      <c r="AP3" s="21">
        <v>109</v>
      </c>
      <c r="AQ3" s="21">
        <v>195</v>
      </c>
    </row>
    <row r="4" spans="1:43" x14ac:dyDescent="0.25">
      <c r="A4" s="8" t="s">
        <v>45</v>
      </c>
      <c r="B4" s="36" t="s">
        <v>46</v>
      </c>
      <c r="C4" s="15">
        <v>47200</v>
      </c>
      <c r="D4" s="15">
        <v>74000</v>
      </c>
      <c r="E4" s="15">
        <v>45677</v>
      </c>
      <c r="F4" s="15">
        <v>93000</v>
      </c>
      <c r="G4" s="15">
        <f t="shared" ref="G4:H8" si="4">E4</f>
        <v>45677</v>
      </c>
      <c r="H4" s="15">
        <f t="shared" si="4"/>
        <v>93000</v>
      </c>
      <c r="I4" s="8" t="s">
        <v>47</v>
      </c>
      <c r="J4" s="8">
        <v>2.7</v>
      </c>
      <c r="K4" s="8">
        <v>2.4</v>
      </c>
      <c r="L4" s="16">
        <f t="shared" ref="L4:L8" si="5">MAX(K4, J4 - (V4 * (J4 - K4) / 60000))</f>
        <v>2.6156000000000001</v>
      </c>
      <c r="M4" s="37">
        <v>34467</v>
      </c>
      <c r="N4" s="15">
        <f t="shared" ref="N4:N8" si="6">IF(V4&gt;0,M4+L4*V4,0)</f>
        <v>78618.328000000009</v>
      </c>
      <c r="O4" s="15">
        <f t="shared" ref="O4:O8" si="7">IF(N4&gt;H4,H4,N4)</f>
        <v>78618.328000000009</v>
      </c>
      <c r="Q4" s="15">
        <f t="shared" ref="Q4:Q8" si="8">O4+P4</f>
        <v>78618.328000000009</v>
      </c>
      <c r="R4" s="15">
        <f t="shared" si="0"/>
        <v>78618.328000000009</v>
      </c>
      <c r="S4" s="17">
        <v>1.036</v>
      </c>
      <c r="U4" s="18">
        <v>18559</v>
      </c>
      <c r="V4" s="18">
        <v>16880</v>
      </c>
      <c r="W4" s="19">
        <f t="shared" ref="W4:W8" si="9">V4/55/48/6</f>
        <v>1.0656565656565657</v>
      </c>
      <c r="X4" s="18">
        <f t="shared" ref="X4:Y8" si="10">U4</f>
        <v>18559</v>
      </c>
      <c r="Y4" s="18">
        <f t="shared" si="10"/>
        <v>16880</v>
      </c>
      <c r="Z4" s="17">
        <f t="shared" si="1"/>
        <v>-9.0468236435152755E-2</v>
      </c>
      <c r="AA4" s="15">
        <v>2721</v>
      </c>
      <c r="AB4" s="15">
        <f t="shared" si="2"/>
        <v>676484.10167466663</v>
      </c>
      <c r="AC4" s="17">
        <v>0.1951</v>
      </c>
      <c r="AD4" s="15">
        <v>247678</v>
      </c>
      <c r="AE4" s="15">
        <v>256200</v>
      </c>
      <c r="AF4" s="17">
        <f t="shared" ref="AF4:AF9" si="11">(AE4-AD4)/AD4</f>
        <v>3.4407577580568317E-2</v>
      </c>
      <c r="AG4" s="15">
        <v>209263</v>
      </c>
      <c r="AH4" s="15">
        <v>255600</v>
      </c>
      <c r="AI4" s="17">
        <f t="shared" ref="AI4:AI9" si="12">(AH4-AG4)/AG4</f>
        <v>0.22142949303030157</v>
      </c>
      <c r="AJ4" s="15">
        <v>209192</v>
      </c>
      <c r="AK4" s="15">
        <v>218900</v>
      </c>
      <c r="AL4" s="17">
        <f t="shared" ref="AL4:AL9" si="13">(AK4-AJ4)/AJ4</f>
        <v>4.640712837967035E-2</v>
      </c>
      <c r="AM4" s="20">
        <f t="shared" si="3"/>
        <v>163586</v>
      </c>
      <c r="AN4" s="20">
        <f t="shared" si="3"/>
        <v>162600</v>
      </c>
      <c r="AO4" s="17">
        <f t="shared" ref="AO4:AO9" si="14">(AN4-AM4)/AM4</f>
        <v>-6.0274106586138175E-3</v>
      </c>
      <c r="AP4" s="21">
        <v>35</v>
      </c>
      <c r="AQ4" s="21">
        <v>297</v>
      </c>
    </row>
    <row r="5" spans="1:43" x14ac:dyDescent="0.25">
      <c r="A5" s="8" t="s">
        <v>45</v>
      </c>
      <c r="B5" s="36" t="s">
        <v>48</v>
      </c>
      <c r="C5" s="15">
        <v>191300</v>
      </c>
      <c r="D5" s="15">
        <v>190000</v>
      </c>
      <c r="E5" s="15">
        <v>171546</v>
      </c>
      <c r="F5" s="15">
        <v>177500</v>
      </c>
      <c r="G5" s="15">
        <f t="shared" si="4"/>
        <v>171546</v>
      </c>
      <c r="H5" s="15">
        <f t="shared" si="4"/>
        <v>177500</v>
      </c>
      <c r="I5" s="8" t="s">
        <v>44</v>
      </c>
      <c r="J5" s="8">
        <v>2.7</v>
      </c>
      <c r="K5" s="8">
        <v>2.4</v>
      </c>
      <c r="L5" s="16">
        <f t="shared" si="5"/>
        <v>2.4189099999999999</v>
      </c>
      <c r="M5" s="37">
        <v>34467</v>
      </c>
      <c r="N5" s="15">
        <f t="shared" si="6"/>
        <v>170453.28237999999</v>
      </c>
      <c r="O5" s="15">
        <f t="shared" si="7"/>
        <v>170453.28237999999</v>
      </c>
      <c r="Q5" s="15">
        <f>O5+P5</f>
        <v>170453.28237999999</v>
      </c>
      <c r="R5" s="15">
        <f t="shared" si="0"/>
        <v>170453.28237999999</v>
      </c>
      <c r="S5" s="17">
        <v>3.4700000000000002E-2</v>
      </c>
      <c r="U5" s="18">
        <v>57182</v>
      </c>
      <c r="V5" s="18">
        <v>56218</v>
      </c>
      <c r="W5" s="19">
        <f t="shared" si="9"/>
        <v>3.5491161616161615</v>
      </c>
      <c r="X5" s="18">
        <f t="shared" si="10"/>
        <v>57182</v>
      </c>
      <c r="Y5" s="18">
        <f t="shared" si="10"/>
        <v>56218</v>
      </c>
      <c r="Z5" s="17">
        <f t="shared" si="1"/>
        <v>-1.6858451960407122E-2</v>
      </c>
      <c r="AA5" s="15">
        <v>-7800</v>
      </c>
      <c r="AB5" s="15">
        <f t="shared" si="2"/>
        <v>676484.10167466663</v>
      </c>
      <c r="AC5" s="17">
        <v>0.1951</v>
      </c>
      <c r="AD5" s="15">
        <v>696478</v>
      </c>
      <c r="AE5" s="15">
        <v>700400</v>
      </c>
      <c r="AF5" s="17">
        <f t="shared" si="11"/>
        <v>5.6311900734840152E-3</v>
      </c>
      <c r="AG5" s="15">
        <v>688640</v>
      </c>
      <c r="AH5" s="15">
        <v>685100</v>
      </c>
      <c r="AI5" s="17">
        <f t="shared" si="12"/>
        <v>-5.1405669144981413E-3</v>
      </c>
      <c r="AJ5" s="15">
        <v>611487</v>
      </c>
      <c r="AK5" s="15">
        <v>601400</v>
      </c>
      <c r="AL5" s="17">
        <f t="shared" si="13"/>
        <v>-1.6495853550443428E-2</v>
      </c>
      <c r="AM5" s="20">
        <f t="shared" si="3"/>
        <v>517094</v>
      </c>
      <c r="AN5" s="20">
        <f t="shared" si="3"/>
        <v>507600</v>
      </c>
      <c r="AO5" s="17">
        <f t="shared" si="14"/>
        <v>-1.836029812761316E-2</v>
      </c>
      <c r="AP5" s="21">
        <v>48</v>
      </c>
      <c r="AQ5" s="21">
        <v>116</v>
      </c>
    </row>
    <row r="6" spans="1:43" x14ac:dyDescent="0.25">
      <c r="A6" s="8" t="s">
        <v>49</v>
      </c>
      <c r="B6" s="36" t="s">
        <v>50</v>
      </c>
      <c r="C6" s="15">
        <v>90000</v>
      </c>
      <c r="D6" s="15">
        <v>101000</v>
      </c>
      <c r="E6" s="15">
        <v>93000</v>
      </c>
      <c r="F6" s="15">
        <v>147200</v>
      </c>
      <c r="G6" s="15">
        <f t="shared" si="4"/>
        <v>93000</v>
      </c>
      <c r="H6" s="15">
        <f t="shared" si="4"/>
        <v>147200</v>
      </c>
      <c r="I6" s="8" t="s">
        <v>51</v>
      </c>
      <c r="J6" s="8">
        <v>2.7</v>
      </c>
      <c r="K6" s="8">
        <v>2.4</v>
      </c>
      <c r="L6" s="16">
        <f t="shared" si="5"/>
        <v>2.5662199999999999</v>
      </c>
      <c r="M6" s="37">
        <v>34467</v>
      </c>
      <c r="N6" s="15">
        <f t="shared" si="6"/>
        <v>103128.78232</v>
      </c>
      <c r="O6" s="15">
        <f t="shared" si="7"/>
        <v>103128.78232</v>
      </c>
      <c r="Q6" s="15">
        <f>O6+P6</f>
        <v>103128.78232</v>
      </c>
      <c r="R6" s="15">
        <f t="shared" si="0"/>
        <v>103128.78232</v>
      </c>
      <c r="S6" s="17">
        <v>0.58279999999999998</v>
      </c>
      <c r="U6" s="18">
        <v>28300</v>
      </c>
      <c r="V6" s="18">
        <v>26756</v>
      </c>
      <c r="W6" s="19">
        <f t="shared" si="9"/>
        <v>1.6891414141414141</v>
      </c>
      <c r="X6" s="18">
        <f t="shared" si="10"/>
        <v>28300</v>
      </c>
      <c r="Y6" s="18">
        <f t="shared" si="10"/>
        <v>26756</v>
      </c>
      <c r="Z6" s="17">
        <f t="shared" si="1"/>
        <v>-5.4558303886925792E-2</v>
      </c>
      <c r="AA6" s="15">
        <v>-2238</v>
      </c>
      <c r="AB6" s="15">
        <f t="shared" si="2"/>
        <v>163635.56864866667</v>
      </c>
      <c r="AC6" s="17">
        <v>0.4516</v>
      </c>
      <c r="AD6" s="15">
        <v>361219</v>
      </c>
      <c r="AE6" s="15">
        <v>405400</v>
      </c>
      <c r="AF6" s="17">
        <f t="shared" si="11"/>
        <v>0.12231084189923565</v>
      </c>
      <c r="AG6" s="15">
        <v>358981</v>
      </c>
      <c r="AH6" s="15">
        <v>405400</v>
      </c>
      <c r="AI6" s="17">
        <f t="shared" si="12"/>
        <v>0.12930767923650555</v>
      </c>
      <c r="AJ6" s="15">
        <v>308426</v>
      </c>
      <c r="AK6" s="15">
        <v>283900</v>
      </c>
      <c r="AL6" s="17">
        <f t="shared" si="13"/>
        <v>-7.9519884834611865E-2</v>
      </c>
      <c r="AM6" s="20">
        <f t="shared" si="3"/>
        <v>265981</v>
      </c>
      <c r="AN6" s="20">
        <f t="shared" si="3"/>
        <v>258200</v>
      </c>
      <c r="AO6" s="17">
        <f t="shared" si="14"/>
        <v>-2.9253969268481582E-2</v>
      </c>
      <c r="AP6" s="21">
        <v>123</v>
      </c>
      <c r="AQ6" s="21">
        <v>123</v>
      </c>
    </row>
    <row r="7" spans="1:43" x14ac:dyDescent="0.25">
      <c r="A7" s="8" t="s">
        <v>52</v>
      </c>
      <c r="B7" s="36" t="s">
        <v>53</v>
      </c>
      <c r="C7" s="15">
        <v>159200</v>
      </c>
      <c r="D7" s="15">
        <v>175800</v>
      </c>
      <c r="E7" s="15">
        <v>169768</v>
      </c>
      <c r="F7" s="15">
        <v>170000</v>
      </c>
      <c r="G7" s="15">
        <f t="shared" si="4"/>
        <v>169768</v>
      </c>
      <c r="H7" s="15">
        <f t="shared" si="4"/>
        <v>170000</v>
      </c>
      <c r="I7" s="8" t="s">
        <v>44</v>
      </c>
      <c r="J7" s="8">
        <v>2.7</v>
      </c>
      <c r="K7" s="8">
        <v>2.4</v>
      </c>
      <c r="L7" s="16">
        <f t="shared" si="5"/>
        <v>2.44455</v>
      </c>
      <c r="M7" s="37">
        <v>34467</v>
      </c>
      <c r="N7" s="15">
        <f t="shared" si="6"/>
        <v>159359.0595</v>
      </c>
      <c r="O7" s="15">
        <f t="shared" si="7"/>
        <v>159359.0595</v>
      </c>
      <c r="Q7" s="15">
        <f t="shared" si="8"/>
        <v>159359.0595</v>
      </c>
      <c r="R7" s="15">
        <f t="shared" si="0"/>
        <v>159359.0595</v>
      </c>
      <c r="S7" s="17">
        <v>1.4E-3</v>
      </c>
      <c r="U7" s="18">
        <v>53256</v>
      </c>
      <c r="V7" s="18">
        <v>51090</v>
      </c>
      <c r="W7" s="19">
        <f t="shared" si="9"/>
        <v>3.2253787878787876</v>
      </c>
      <c r="X7" s="18">
        <f t="shared" si="10"/>
        <v>53256</v>
      </c>
      <c r="Y7" s="18">
        <f t="shared" si="10"/>
        <v>51090</v>
      </c>
      <c r="Z7" s="17">
        <f t="shared" si="1"/>
        <v>-4.0671473636773321E-2</v>
      </c>
      <c r="AA7" s="15">
        <v>-3095</v>
      </c>
      <c r="AB7" s="15">
        <f t="shared" si="2"/>
        <v>349257.9793152645</v>
      </c>
      <c r="AC7" s="17">
        <v>4.8000000000000001E-2</v>
      </c>
      <c r="AD7" s="15">
        <v>659587</v>
      </c>
      <c r="AE7" s="15">
        <v>639700</v>
      </c>
      <c r="AF7" s="17">
        <f t="shared" si="11"/>
        <v>-3.0150685201497301E-2</v>
      </c>
      <c r="AG7" s="15">
        <v>656494</v>
      </c>
      <c r="AH7" s="15">
        <v>639700</v>
      </c>
      <c r="AI7" s="17">
        <f t="shared" si="12"/>
        <v>-2.5581345754873617E-2</v>
      </c>
      <c r="AJ7" s="15">
        <v>572498</v>
      </c>
      <c r="AK7" s="15">
        <v>551100</v>
      </c>
      <c r="AL7" s="17">
        <f t="shared" si="13"/>
        <v>-3.7376549787073492E-2</v>
      </c>
      <c r="AM7" s="20">
        <f t="shared" si="3"/>
        <v>486726</v>
      </c>
      <c r="AN7" s="20">
        <f t="shared" si="3"/>
        <v>469700</v>
      </c>
      <c r="AO7" s="17">
        <f t="shared" si="14"/>
        <v>-3.4980666740630252E-2</v>
      </c>
      <c r="AP7" s="21">
        <v>2</v>
      </c>
      <c r="AQ7" s="21">
        <v>74</v>
      </c>
    </row>
    <row r="8" spans="1:43" x14ac:dyDescent="0.25">
      <c r="A8" s="8" t="s">
        <v>54</v>
      </c>
      <c r="B8" s="36" t="s">
        <v>55</v>
      </c>
      <c r="C8" s="15">
        <v>12590</v>
      </c>
      <c r="D8" s="15">
        <v>30778</v>
      </c>
      <c r="E8" s="15">
        <v>35829</v>
      </c>
      <c r="F8" s="15">
        <v>55767</v>
      </c>
      <c r="G8" s="15">
        <f t="shared" si="4"/>
        <v>35829</v>
      </c>
      <c r="H8" s="15">
        <f t="shared" si="4"/>
        <v>55767</v>
      </c>
      <c r="I8" s="8" t="s">
        <v>56</v>
      </c>
      <c r="J8" s="8">
        <v>2</v>
      </c>
      <c r="K8" s="8">
        <v>1</v>
      </c>
      <c r="L8" s="16">
        <f t="shared" si="5"/>
        <v>1.6295166666666667</v>
      </c>
      <c r="M8" s="37">
        <v>34467</v>
      </c>
      <c r="N8" s="15">
        <f t="shared" si="6"/>
        <v>70689.525983333326</v>
      </c>
      <c r="O8" s="15">
        <f t="shared" si="7"/>
        <v>55767</v>
      </c>
      <c r="Q8" s="15">
        <f t="shared" si="8"/>
        <v>55767</v>
      </c>
      <c r="R8" s="15">
        <f t="shared" si="0"/>
        <v>152642.91105566666</v>
      </c>
      <c r="S8" s="17">
        <v>0.55649999999999999</v>
      </c>
      <c r="U8" s="18">
        <v>19244</v>
      </c>
      <c r="V8" s="18">
        <v>22229</v>
      </c>
      <c r="W8" s="19">
        <f t="shared" si="9"/>
        <v>1.4033459595959596</v>
      </c>
      <c r="X8" s="18">
        <f t="shared" si="10"/>
        <v>19244</v>
      </c>
      <c r="Y8" s="18">
        <f t="shared" si="10"/>
        <v>22229</v>
      </c>
      <c r="Z8" s="17">
        <f t="shared" si="1"/>
        <v>0.15511328206194139</v>
      </c>
      <c r="AA8" s="15">
        <f>AA13</f>
        <v>-18107</v>
      </c>
      <c r="AB8" s="15">
        <f t="shared" si="2"/>
        <v>152642.91105566666</v>
      </c>
      <c r="AC8" s="17">
        <v>0.2833</v>
      </c>
      <c r="AD8" s="15">
        <v>246091</v>
      </c>
      <c r="AE8" s="15">
        <v>254437</v>
      </c>
      <c r="AF8" s="17">
        <f t="shared" si="11"/>
        <v>3.3914283740567513E-2</v>
      </c>
      <c r="AG8" s="15">
        <v>234764</v>
      </c>
      <c r="AH8" s="15">
        <v>254437</v>
      </c>
      <c r="AI8" s="17">
        <f t="shared" si="12"/>
        <v>8.3799049257978223E-2</v>
      </c>
      <c r="AJ8" s="15">
        <v>210689</v>
      </c>
      <c r="AK8" s="15">
        <v>218447</v>
      </c>
      <c r="AL8" s="17">
        <f t="shared" si="13"/>
        <v>3.6822045764135766E-2</v>
      </c>
      <c r="AM8" s="20">
        <f t="shared" si="3"/>
        <v>198935</v>
      </c>
      <c r="AN8" s="20">
        <f t="shared" si="3"/>
        <v>198670</v>
      </c>
      <c r="AO8" s="17">
        <f t="shared" si="14"/>
        <v>-1.33209339734084E-3</v>
      </c>
      <c r="AP8" s="21">
        <v>62</v>
      </c>
      <c r="AQ8" s="21">
        <v>74</v>
      </c>
    </row>
    <row r="9" spans="1:43" x14ac:dyDescent="0.25">
      <c r="A9" s="22" t="s">
        <v>57</v>
      </c>
      <c r="B9" s="22" t="s">
        <v>41</v>
      </c>
      <c r="C9" s="23">
        <f t="shared" ref="C9:H9" si="15">SUM(C3:C8)</f>
        <v>577590</v>
      </c>
      <c r="D9" s="23">
        <f t="shared" si="15"/>
        <v>654878</v>
      </c>
      <c r="E9" s="23">
        <f t="shared" si="15"/>
        <v>599120</v>
      </c>
      <c r="F9" s="23">
        <f t="shared" si="15"/>
        <v>736767</v>
      </c>
      <c r="G9" s="23">
        <f t="shared" si="15"/>
        <v>599120</v>
      </c>
      <c r="H9" s="23">
        <f t="shared" si="15"/>
        <v>736767</v>
      </c>
      <c r="I9" s="23"/>
      <c r="J9" s="23"/>
      <c r="K9" s="23"/>
      <c r="L9" s="23"/>
      <c r="M9" s="38"/>
      <c r="N9" s="23">
        <f t="shared" ref="N9:R9" si="16">SUM(N3:N8)</f>
        <v>721656.65346011904</v>
      </c>
      <c r="O9" s="23">
        <f t="shared" si="16"/>
        <v>660626.45219999994</v>
      </c>
      <c r="P9" s="23">
        <f t="shared" si="16"/>
        <v>0</v>
      </c>
      <c r="Q9" s="23">
        <f t="shared" si="16"/>
        <v>660626.45219999994</v>
      </c>
      <c r="R9" s="23">
        <f t="shared" si="16"/>
        <v>757502.36325566657</v>
      </c>
      <c r="S9" s="24">
        <f>IF(E9&gt;0,(F9-E9)/E9,"")</f>
        <v>0.22974863132594472</v>
      </c>
      <c r="T9" s="24"/>
      <c r="U9" s="25">
        <f>SUM(U3:U8)</f>
        <v>210981</v>
      </c>
      <c r="V9" s="25">
        <f>SUM(V3:V8)</f>
        <v>205886</v>
      </c>
      <c r="W9" s="25"/>
      <c r="X9" s="25">
        <f t="shared" ref="X9:Y9" si="17">SUM(X3:X8)</f>
        <v>210981</v>
      </c>
      <c r="Y9" s="25">
        <f t="shared" si="17"/>
        <v>205886</v>
      </c>
      <c r="Z9" s="24">
        <f>IF(U9&gt;0,(V9-U9)/U9,"")</f>
        <v>-2.4149093994245929E-2</v>
      </c>
      <c r="AA9" s="23">
        <f>SUM(AA3:AA8)</f>
        <v>9142</v>
      </c>
      <c r="AB9" s="23">
        <f t="shared" ref="AB9" si="18">SUM(AB3:AB8)</f>
        <v>2193152.0775678405</v>
      </c>
      <c r="AC9" s="17">
        <v>0.2833</v>
      </c>
      <c r="AD9" s="23">
        <f>SUM(AD3:AD8)</f>
        <v>2627059</v>
      </c>
      <c r="AE9" s="23">
        <f>SUM(AE3:AE8)</f>
        <v>2682937</v>
      </c>
      <c r="AF9" s="24">
        <f t="shared" si="11"/>
        <v>2.1270173224126294E-2</v>
      </c>
      <c r="AG9" s="23">
        <f>SUM(AG3:AG8)</f>
        <v>2601809</v>
      </c>
      <c r="AH9" s="23">
        <f>SUM(AH3:AH8)</f>
        <v>2634737</v>
      </c>
      <c r="AI9" s="24">
        <f t="shared" si="12"/>
        <v>1.2655809861523272E-2</v>
      </c>
      <c r="AJ9" s="23">
        <f>SUM(AJ3:AJ8)</f>
        <v>2251394</v>
      </c>
      <c r="AK9" s="23">
        <f>SUM(AK3:AK8)</f>
        <v>2217847</v>
      </c>
      <c r="AL9" s="24">
        <f t="shared" si="13"/>
        <v>-1.490054606168445E-2</v>
      </c>
      <c r="AM9" s="20">
        <f t="shared" si="3"/>
        <v>2002689</v>
      </c>
      <c r="AN9" s="20">
        <f t="shared" si="3"/>
        <v>1897970</v>
      </c>
      <c r="AO9" s="24">
        <f t="shared" si="14"/>
        <v>-5.2289197174399019E-2</v>
      </c>
      <c r="AP9" s="26"/>
      <c r="AQ9" s="21"/>
    </row>
    <row r="10" spans="1:43" x14ac:dyDescent="0.25">
      <c r="A10" s="9" t="s">
        <v>58</v>
      </c>
      <c r="B10" s="10"/>
      <c r="C10" s="11"/>
      <c r="D10" s="11"/>
      <c r="E10" s="11"/>
      <c r="F10" s="11"/>
      <c r="G10" s="11"/>
      <c r="H10" s="11"/>
      <c r="I10" s="10"/>
      <c r="J10" s="10"/>
      <c r="K10" s="10"/>
      <c r="L10" s="10"/>
      <c r="M10" s="35"/>
      <c r="N10" s="39"/>
      <c r="O10" s="39" t="str">
        <f>IF(ROUNDDOWN((O9-E9)/E9*100,0)&gt;0,"+"&amp;ROUNDDOWN((O9-E9)/E9*100,0)&amp;"% /2025",ROUNDDOWN((O9-E9)/E9*100,0)&amp;"% /2025")</f>
        <v>+10% /2025</v>
      </c>
      <c r="P10" s="39"/>
      <c r="Q10" s="11"/>
      <c r="R10" s="11"/>
      <c r="S10" s="12"/>
      <c r="T10" s="12"/>
      <c r="U10" s="13"/>
      <c r="V10" s="13"/>
      <c r="W10" s="13"/>
      <c r="X10" s="13"/>
      <c r="Y10" s="13"/>
      <c r="Z10" s="12"/>
      <c r="AA10" s="11"/>
      <c r="AB10" s="11"/>
      <c r="AC10" s="12"/>
      <c r="AD10" s="11"/>
      <c r="AE10" s="11"/>
      <c r="AF10" s="12"/>
      <c r="AG10" s="11"/>
      <c r="AH10" s="11"/>
      <c r="AI10" s="12"/>
      <c r="AJ10" s="11"/>
      <c r="AK10" s="11"/>
      <c r="AL10" s="12"/>
      <c r="AM10" s="12"/>
      <c r="AN10" s="12"/>
      <c r="AO10" s="12"/>
      <c r="AP10" s="14"/>
      <c r="AQ10" s="21"/>
    </row>
    <row r="11" spans="1:43" x14ac:dyDescent="0.25">
      <c r="A11" s="8" t="s">
        <v>59</v>
      </c>
      <c r="B11" s="36" t="s">
        <v>60</v>
      </c>
      <c r="C11" s="15">
        <v>157127</v>
      </c>
      <c r="D11" s="15">
        <v>144000</v>
      </c>
      <c r="E11" s="15">
        <v>163251</v>
      </c>
      <c r="F11" s="15">
        <v>187000</v>
      </c>
      <c r="G11" s="15">
        <f t="shared" ref="G11:H17" si="19">E11*U11/X11</f>
        <v>23187.426033786887</v>
      </c>
      <c r="H11" s="15">
        <f t="shared" si="19"/>
        <v>26640.830947365765</v>
      </c>
      <c r="I11" s="8">
        <v>164000</v>
      </c>
      <c r="J11" s="8">
        <v>2</v>
      </c>
      <c r="K11" s="8">
        <v>1.05</v>
      </c>
      <c r="L11" s="16">
        <f>MAX(K11, J11 - (V11 * (J11 - K11) / 100000))</f>
        <v>1.8926974999999999</v>
      </c>
      <c r="M11" s="37">
        <f>4224</f>
        <v>4224</v>
      </c>
      <c r="N11" s="15">
        <f t="shared" ref="N11:N17" si="20">IF(V11&gt;0,M11+L11*V11,0)</f>
        <v>25602.018262499998</v>
      </c>
      <c r="O11" s="15">
        <f t="shared" ref="O11:O17" si="21">IF(N11&gt;H11,H11,N11)</f>
        <v>25602.018262499998</v>
      </c>
      <c r="P11" s="27"/>
      <c r="Q11" s="15">
        <f t="shared" ref="Q11:Q17" si="22">O11+P11</f>
        <v>25602.018262499998</v>
      </c>
      <c r="R11" s="15">
        <f t="shared" ref="R11:R17" si="23">SUMIF(B:B,B11,Q:Q)</f>
        <v>141497.52127616666</v>
      </c>
      <c r="S11" s="17">
        <v>0.14549999999999999</v>
      </c>
      <c r="U11" s="18">
        <v>11754</v>
      </c>
      <c r="V11" s="18">
        <v>11295</v>
      </c>
      <c r="W11" s="19">
        <f>V11/8/36/12</f>
        <v>3.2682291666666665</v>
      </c>
      <c r="X11" s="18">
        <f t="shared" ref="X11:Y17" si="24">SUMIF($B$11:$B$40,$B11,U$11:U$40)</f>
        <v>82754</v>
      </c>
      <c r="Y11" s="18">
        <f t="shared" si="24"/>
        <v>79283</v>
      </c>
      <c r="Z11" s="17">
        <f t="shared" ref="Z11:Z17" si="25">IF(AND(ISNUMBER(U11), U11&gt;0), (V11-U11)/U11, "")</f>
        <v>-3.9050535987748852E-2</v>
      </c>
      <c r="AA11" s="15">
        <v>49299</v>
      </c>
      <c r="AB11" s="15">
        <f t="shared" ref="AB11:AB17" si="26">SUMIF(A:A,A11,Q:Q)</f>
        <v>165097.52127616666</v>
      </c>
      <c r="AC11" s="17">
        <v>0.12939999999999999</v>
      </c>
      <c r="AD11" s="15">
        <v>360491</v>
      </c>
      <c r="AE11" s="15">
        <v>429324</v>
      </c>
      <c r="AF11" s="17">
        <f t="shared" ref="AF11:AF18" si="27">(AE11-AD11)/AD11</f>
        <v>0.19094235362325274</v>
      </c>
      <c r="AG11" s="15">
        <v>413036</v>
      </c>
      <c r="AH11" s="15">
        <v>429324</v>
      </c>
      <c r="AI11" s="17">
        <f t="shared" ref="AI11:AI18" si="28">(AH11-AG11)/AG11</f>
        <v>3.9434819240937835E-2</v>
      </c>
      <c r="AJ11" s="15">
        <v>319297</v>
      </c>
      <c r="AK11" s="15">
        <v>367000</v>
      </c>
      <c r="AL11" s="17">
        <f t="shared" ref="AL11:AL18" si="29">(AK11-AJ11)/AJ11</f>
        <v>0.14940008831902585</v>
      </c>
      <c r="AM11" s="20">
        <f t="shared" ref="AM11:AN18" si="30">AG11-E11</f>
        <v>249785</v>
      </c>
      <c r="AN11" s="20">
        <f t="shared" si="30"/>
        <v>242324</v>
      </c>
      <c r="AO11" s="17">
        <f t="shared" ref="AO11:AO18" si="31">(AN11-AM11)/AM11</f>
        <v>-2.9869687931621196E-2</v>
      </c>
      <c r="AP11" s="21">
        <v>166</v>
      </c>
      <c r="AQ11" s="21">
        <v>166</v>
      </c>
    </row>
    <row r="12" spans="1:43" x14ac:dyDescent="0.25">
      <c r="A12" s="8" t="s">
        <v>42</v>
      </c>
      <c r="B12" s="36" t="s">
        <v>61</v>
      </c>
      <c r="C12" s="15">
        <v>59914</v>
      </c>
      <c r="D12" s="15">
        <v>95971</v>
      </c>
      <c r="E12" s="15">
        <v>78595</v>
      </c>
      <c r="F12" s="15">
        <v>80000</v>
      </c>
      <c r="G12" s="15">
        <f t="shared" si="19"/>
        <v>1601.2910730283502</v>
      </c>
      <c r="H12" s="15">
        <f t="shared" si="19"/>
        <v>2963.9592822425334</v>
      </c>
      <c r="I12" s="8">
        <v>80000</v>
      </c>
      <c r="J12" s="8">
        <v>2</v>
      </c>
      <c r="K12" s="8">
        <v>1.05</v>
      </c>
      <c r="L12" s="16">
        <f t="shared" ref="L12:L17" si="32">MAX(K12, J12 - (V12 * (J12 - K12) / 100000))</f>
        <v>1.988486</v>
      </c>
      <c r="M12" s="37">
        <f>4224/4</f>
        <v>1056</v>
      </c>
      <c r="N12" s="15">
        <f t="shared" si="20"/>
        <v>3466.045032</v>
      </c>
      <c r="O12" s="15">
        <f t="shared" si="21"/>
        <v>2963.9592822425334</v>
      </c>
      <c r="Q12" s="15">
        <f t="shared" si="22"/>
        <v>2963.9592822425334</v>
      </c>
      <c r="R12" s="15">
        <f t="shared" si="23"/>
        <v>81347.415198909206</v>
      </c>
      <c r="S12" s="17">
        <v>1.7899999999999999E-2</v>
      </c>
      <c r="U12" s="18">
        <v>705</v>
      </c>
      <c r="V12" s="18">
        <v>1212</v>
      </c>
      <c r="W12" s="19">
        <f t="shared" ref="W12:W14" si="33">V12/8/36/12</f>
        <v>0.35069444444444442</v>
      </c>
      <c r="X12" s="18">
        <f t="shared" si="24"/>
        <v>34603</v>
      </c>
      <c r="Y12" s="18">
        <f t="shared" si="24"/>
        <v>32713</v>
      </c>
      <c r="Z12" s="17">
        <f t="shared" si="25"/>
        <v>0.7191489361702128</v>
      </c>
      <c r="AA12" s="15">
        <v>8500</v>
      </c>
      <c r="AB12" s="15">
        <f t="shared" si="26"/>
        <v>174647.41519890921</v>
      </c>
      <c r="AC12" s="17">
        <v>6.0199999999999997E-2</v>
      </c>
      <c r="AD12" s="15">
        <v>193719</v>
      </c>
      <c r="AE12" s="15">
        <v>184266</v>
      </c>
      <c r="AF12" s="17">
        <f t="shared" si="27"/>
        <v>-4.8797485016957555E-2</v>
      </c>
      <c r="AG12" s="15">
        <v>186709</v>
      </c>
      <c r="AH12" s="15">
        <v>189195</v>
      </c>
      <c r="AI12" s="17">
        <f t="shared" si="28"/>
        <v>1.3314837527917775E-2</v>
      </c>
      <c r="AJ12" s="15">
        <v>151287</v>
      </c>
      <c r="AK12" s="15">
        <v>140985</v>
      </c>
      <c r="AL12" s="17">
        <f t="shared" si="29"/>
        <v>-6.8095738563128352E-2</v>
      </c>
      <c r="AM12" s="20">
        <f t="shared" si="30"/>
        <v>108114</v>
      </c>
      <c r="AN12" s="20">
        <f t="shared" si="30"/>
        <v>109195</v>
      </c>
      <c r="AO12" s="17">
        <f t="shared" si="31"/>
        <v>9.9987050705736529E-3</v>
      </c>
      <c r="AP12" s="21">
        <v>80</v>
      </c>
      <c r="AQ12" s="21">
        <v>83</v>
      </c>
    </row>
    <row r="13" spans="1:43" x14ac:dyDescent="0.25">
      <c r="A13" s="8" t="s">
        <v>54</v>
      </c>
      <c r="B13" s="36" t="s">
        <v>55</v>
      </c>
      <c r="C13" s="15">
        <v>56679</v>
      </c>
      <c r="D13" s="15">
        <v>136027</v>
      </c>
      <c r="E13" s="15">
        <v>95102</v>
      </c>
      <c r="F13" s="15">
        <v>114726</v>
      </c>
      <c r="G13" s="15">
        <f t="shared" si="19"/>
        <v>24859.159981768458</v>
      </c>
      <c r="H13" s="15">
        <f t="shared" si="19"/>
        <v>30772.272870043187</v>
      </c>
      <c r="I13" s="8" t="s">
        <v>62</v>
      </c>
      <c r="J13" s="8">
        <v>2</v>
      </c>
      <c r="K13" s="8">
        <v>1.05</v>
      </c>
      <c r="L13" s="16">
        <f t="shared" si="32"/>
        <v>1.9221189999999999</v>
      </c>
      <c r="M13" s="37">
        <f>4224</f>
        <v>4224</v>
      </c>
      <c r="N13" s="15">
        <f t="shared" si="20"/>
        <v>19981.531562</v>
      </c>
      <c r="O13" s="15">
        <f t="shared" si="21"/>
        <v>19981.531562</v>
      </c>
      <c r="Q13" s="15">
        <f t="shared" si="22"/>
        <v>19981.531562</v>
      </c>
      <c r="R13" s="15">
        <f t="shared" si="23"/>
        <v>152642.91105566666</v>
      </c>
      <c r="S13" s="17">
        <v>0.20630000000000001</v>
      </c>
      <c r="U13" s="18">
        <v>9176</v>
      </c>
      <c r="V13" s="18">
        <v>8198</v>
      </c>
      <c r="W13" s="19">
        <f t="shared" si="33"/>
        <v>2.3721064814814814</v>
      </c>
      <c r="X13" s="18">
        <f t="shared" si="24"/>
        <v>35104</v>
      </c>
      <c r="Y13" s="18">
        <f t="shared" si="24"/>
        <v>30564</v>
      </c>
      <c r="Z13" s="17">
        <f t="shared" si="25"/>
        <v>-0.10658238884045336</v>
      </c>
      <c r="AA13" s="15">
        <v>-18107</v>
      </c>
      <c r="AB13" s="15">
        <f t="shared" si="26"/>
        <v>152642.91105566666</v>
      </c>
      <c r="AC13" s="17">
        <v>0.2833</v>
      </c>
      <c r="AD13" s="15">
        <v>219795</v>
      </c>
      <c r="AE13" s="15">
        <v>210679</v>
      </c>
      <c r="AF13" s="17">
        <f t="shared" si="27"/>
        <v>-4.1475010805523328E-2</v>
      </c>
      <c r="AG13" s="15">
        <v>201688</v>
      </c>
      <c r="AH13" s="15">
        <v>210679</v>
      </c>
      <c r="AI13" s="17">
        <f t="shared" si="28"/>
        <v>4.4578755305223913E-2</v>
      </c>
      <c r="AJ13" s="15">
        <v>171379</v>
      </c>
      <c r="AK13" s="15">
        <v>167441</v>
      </c>
      <c r="AL13" s="17">
        <f t="shared" si="29"/>
        <v>-2.2978311228330193E-2</v>
      </c>
      <c r="AM13" s="20">
        <f t="shared" si="30"/>
        <v>106586</v>
      </c>
      <c r="AN13" s="20">
        <f t="shared" si="30"/>
        <v>95953</v>
      </c>
      <c r="AO13" s="17">
        <f t="shared" si="31"/>
        <v>-9.975981836263674E-2</v>
      </c>
      <c r="AP13" s="21">
        <v>62</v>
      </c>
      <c r="AQ13" s="21">
        <v>74</v>
      </c>
    </row>
    <row r="14" spans="1:43" x14ac:dyDescent="0.25">
      <c r="A14" s="8" t="s">
        <v>63</v>
      </c>
      <c r="B14" s="36" t="s">
        <v>64</v>
      </c>
      <c r="C14" s="15">
        <v>130627</v>
      </c>
      <c r="D14" s="15">
        <v>90100</v>
      </c>
      <c r="E14" s="15">
        <v>102566</v>
      </c>
      <c r="F14" s="15">
        <v>135353</v>
      </c>
      <c r="G14" s="15">
        <f t="shared" si="19"/>
        <v>40920.905129246174</v>
      </c>
      <c r="H14" s="15">
        <f t="shared" si="19"/>
        <v>55597.282897338831</v>
      </c>
      <c r="I14" s="8" t="s">
        <v>65</v>
      </c>
      <c r="J14" s="8">
        <v>2</v>
      </c>
      <c r="K14" s="8">
        <v>1.05</v>
      </c>
      <c r="L14" s="16">
        <f t="shared" si="32"/>
        <v>1.8618699999999999</v>
      </c>
      <c r="M14" s="37">
        <f>4224</f>
        <v>4224</v>
      </c>
      <c r="N14" s="15">
        <f t="shared" si="20"/>
        <v>31295.589799999998</v>
      </c>
      <c r="O14" s="15">
        <f t="shared" si="21"/>
        <v>31295.589799999998</v>
      </c>
      <c r="Q14" s="15">
        <f t="shared" si="22"/>
        <v>31295.589799999998</v>
      </c>
      <c r="R14" s="15">
        <f t="shared" si="23"/>
        <v>100798.92258033331</v>
      </c>
      <c r="S14" s="17">
        <v>0.31969999999999998</v>
      </c>
      <c r="U14" s="18">
        <v>14740</v>
      </c>
      <c r="V14" s="18">
        <v>14540</v>
      </c>
      <c r="W14" s="19">
        <f t="shared" si="33"/>
        <v>4.2071759259259265</v>
      </c>
      <c r="X14" s="18">
        <f t="shared" si="24"/>
        <v>36945</v>
      </c>
      <c r="Y14" s="18">
        <f t="shared" si="24"/>
        <v>35398</v>
      </c>
      <c r="Z14" s="17">
        <f t="shared" si="25"/>
        <v>-1.3568521031207599E-2</v>
      </c>
      <c r="AA14" s="15">
        <v>-8000</v>
      </c>
      <c r="AB14" s="15">
        <f t="shared" si="26"/>
        <v>100798.92258033331</v>
      </c>
      <c r="AC14" s="17">
        <v>0.315</v>
      </c>
      <c r="AD14" s="15">
        <v>205403</v>
      </c>
      <c r="AE14" s="15">
        <v>232844</v>
      </c>
      <c r="AF14" s="17">
        <f t="shared" si="27"/>
        <v>0.1335959065836429</v>
      </c>
      <c r="AG14" s="15">
        <v>197275</v>
      </c>
      <c r="AH14" s="15">
        <v>232594</v>
      </c>
      <c r="AI14" s="17">
        <f t="shared" si="28"/>
        <v>0.17903434292231657</v>
      </c>
      <c r="AJ14" s="15">
        <v>153394</v>
      </c>
      <c r="AK14" s="15">
        <v>178453</v>
      </c>
      <c r="AL14" s="17">
        <f t="shared" si="29"/>
        <v>0.16336362569592031</v>
      </c>
      <c r="AM14" s="20">
        <f t="shared" si="30"/>
        <v>94709</v>
      </c>
      <c r="AN14" s="20">
        <f t="shared" si="30"/>
        <v>97241</v>
      </c>
      <c r="AO14" s="17">
        <f t="shared" si="31"/>
        <v>2.6734523646115997E-2</v>
      </c>
      <c r="AP14" s="21">
        <v>94</v>
      </c>
      <c r="AQ14" s="21">
        <v>94</v>
      </c>
    </row>
    <row r="15" spans="1:43" x14ac:dyDescent="0.25">
      <c r="A15" s="8" t="s">
        <v>45</v>
      </c>
      <c r="B15" s="36" t="s">
        <v>66</v>
      </c>
      <c r="C15" s="15">
        <v>52000</v>
      </c>
      <c r="D15" s="15">
        <v>110000</v>
      </c>
      <c r="E15" s="15">
        <v>152000</v>
      </c>
      <c r="F15" s="15">
        <v>178000</v>
      </c>
      <c r="G15" s="15">
        <f t="shared" si="19"/>
        <v>87612.156474374846</v>
      </c>
      <c r="H15" s="15">
        <f t="shared" si="19"/>
        <v>105006.74680753713</v>
      </c>
      <c r="I15" s="8">
        <v>150000</v>
      </c>
      <c r="J15" s="8">
        <v>2</v>
      </c>
      <c r="K15" s="8">
        <v>1.05</v>
      </c>
      <c r="L15" s="16">
        <f t="shared" si="32"/>
        <v>1.326336</v>
      </c>
      <c r="M15" s="37">
        <f>4224*3</f>
        <v>12672</v>
      </c>
      <c r="N15" s="15">
        <f t="shared" si="20"/>
        <v>106725.13843199999</v>
      </c>
      <c r="O15" s="15">
        <f t="shared" si="21"/>
        <v>105006.74680753713</v>
      </c>
      <c r="Q15" s="15">
        <f t="shared" si="22"/>
        <v>105006.74680753713</v>
      </c>
      <c r="R15" s="15">
        <f t="shared" si="23"/>
        <v>178000</v>
      </c>
      <c r="S15" s="17">
        <v>0.1711</v>
      </c>
      <c r="U15" s="18">
        <f>12700+32700+29098</f>
        <v>74498</v>
      </c>
      <c r="V15" s="18">
        <f>120205-14236-35057</f>
        <v>70912</v>
      </c>
      <c r="W15" s="19">
        <f>V15/18/36/12</f>
        <v>9.1193415637860085</v>
      </c>
      <c r="X15" s="18">
        <f t="shared" si="24"/>
        <v>129248</v>
      </c>
      <c r="Y15" s="18">
        <f t="shared" si="24"/>
        <v>120205</v>
      </c>
      <c r="Z15" s="17">
        <f t="shared" si="25"/>
        <v>-4.8135520416655482E-2</v>
      </c>
      <c r="AA15" s="15">
        <v>-5685</v>
      </c>
      <c r="AB15" s="15">
        <f t="shared" si="26"/>
        <v>676484.10167466663</v>
      </c>
      <c r="AC15" s="17">
        <v>0.1951</v>
      </c>
      <c r="AD15" s="15">
        <v>437530</v>
      </c>
      <c r="AE15" s="15">
        <v>482674</v>
      </c>
      <c r="AF15" s="17">
        <f t="shared" si="27"/>
        <v>0.10317921056841817</v>
      </c>
      <c r="AG15" s="15">
        <v>431845</v>
      </c>
      <c r="AH15" s="15">
        <v>483335</v>
      </c>
      <c r="AI15" s="17">
        <f t="shared" si="28"/>
        <v>0.11923259502830877</v>
      </c>
      <c r="AJ15" s="15">
        <v>343438</v>
      </c>
      <c r="AK15" s="15">
        <v>383460</v>
      </c>
      <c r="AL15" s="17">
        <f t="shared" si="29"/>
        <v>0.11653340632079152</v>
      </c>
      <c r="AM15" s="20">
        <f t="shared" si="30"/>
        <v>279845</v>
      </c>
      <c r="AN15" s="20">
        <f t="shared" si="30"/>
        <v>305335</v>
      </c>
      <c r="AO15" s="17">
        <f t="shared" si="31"/>
        <v>9.1086136968679093E-2</v>
      </c>
      <c r="AP15" s="21">
        <v>148</v>
      </c>
      <c r="AQ15" s="21">
        <v>182</v>
      </c>
    </row>
    <row r="16" spans="1:43" x14ac:dyDescent="0.25">
      <c r="A16" s="8" t="s">
        <v>52</v>
      </c>
      <c r="B16" s="36" t="s">
        <v>71</v>
      </c>
      <c r="C16" s="15">
        <v>220000</v>
      </c>
      <c r="D16" s="15">
        <v>158000</v>
      </c>
      <c r="E16" s="15">
        <v>140000</v>
      </c>
      <c r="F16" s="15">
        <v>155000</v>
      </c>
      <c r="G16" s="15">
        <f t="shared" si="19"/>
        <v>24254.423957431012</v>
      </c>
      <c r="H16" s="15">
        <f t="shared" si="19"/>
        <v>28801.175850597807</v>
      </c>
      <c r="I16" s="8">
        <v>155000</v>
      </c>
      <c r="J16" s="8">
        <v>2</v>
      </c>
      <c r="K16" s="8">
        <v>1.05</v>
      </c>
      <c r="L16" s="16">
        <f t="shared" si="32"/>
        <v>1.8928115000000001</v>
      </c>
      <c r="M16" s="37">
        <f>4224*2</f>
        <v>8448</v>
      </c>
      <c r="N16" s="15">
        <f t="shared" si="20"/>
        <v>29804.592154500002</v>
      </c>
      <c r="O16" s="15">
        <f t="shared" si="21"/>
        <v>28801.175850597807</v>
      </c>
      <c r="Q16" s="15">
        <f t="shared" si="22"/>
        <v>28801.175850597807</v>
      </c>
      <c r="R16" s="15">
        <f t="shared" si="23"/>
        <v>148852.20888193115</v>
      </c>
      <c r="S16" s="17">
        <v>0.1071</v>
      </c>
      <c r="U16" s="18">
        <v>11200</v>
      </c>
      <c r="V16" s="18">
        <f>3575+7708</f>
        <v>11283</v>
      </c>
      <c r="W16" s="19">
        <f>V16/16/36/12</f>
        <v>1.6323784722222223</v>
      </c>
      <c r="X16" s="18">
        <f t="shared" si="24"/>
        <v>64648</v>
      </c>
      <c r="Y16" s="18">
        <f t="shared" si="24"/>
        <v>60722</v>
      </c>
      <c r="Z16" s="17">
        <f t="shared" si="25"/>
        <v>7.4107142857142861E-3</v>
      </c>
      <c r="AA16" s="15">
        <v>-387</v>
      </c>
      <c r="AB16" s="15">
        <f t="shared" si="26"/>
        <v>349257.9793152645</v>
      </c>
      <c r="AC16" s="17">
        <v>4.8000000000000001E-2</v>
      </c>
      <c r="AD16" s="15">
        <v>313138</v>
      </c>
      <c r="AE16" s="15">
        <v>330159</v>
      </c>
      <c r="AF16" s="17">
        <f t="shared" si="27"/>
        <v>5.4356226328328087E-2</v>
      </c>
      <c r="AG16" s="15">
        <v>301642</v>
      </c>
      <c r="AH16" s="15">
        <v>293859</v>
      </c>
      <c r="AI16" s="17">
        <f t="shared" si="28"/>
        <v>-2.5802109785772537E-2</v>
      </c>
      <c r="AJ16" s="15">
        <v>255189</v>
      </c>
      <c r="AK16" s="15">
        <v>251217</v>
      </c>
      <c r="AL16" s="17">
        <f t="shared" si="29"/>
        <v>-1.5564934225221306E-2</v>
      </c>
      <c r="AM16" s="20">
        <f t="shared" si="30"/>
        <v>161642</v>
      </c>
      <c r="AN16" s="20">
        <f t="shared" si="30"/>
        <v>138859</v>
      </c>
      <c r="AO16" s="17">
        <f t="shared" si="31"/>
        <v>-0.1409472785538412</v>
      </c>
      <c r="AP16" s="21">
        <v>71</v>
      </c>
      <c r="AQ16" s="21">
        <v>127</v>
      </c>
    </row>
    <row r="17" spans="1:43" x14ac:dyDescent="0.25">
      <c r="A17" s="8" t="s">
        <v>52</v>
      </c>
      <c r="B17" s="36" t="s">
        <v>72</v>
      </c>
      <c r="C17" s="15">
        <v>5000</v>
      </c>
      <c r="D17" s="15">
        <v>50697</v>
      </c>
      <c r="E17" s="15">
        <v>59698</v>
      </c>
      <c r="F17" s="15">
        <v>62200</v>
      </c>
      <c r="G17" s="15">
        <f t="shared" si="19"/>
        <v>48450.387176045821</v>
      </c>
      <c r="H17" s="15">
        <f t="shared" si="19"/>
        <v>48519.572398452932</v>
      </c>
      <c r="I17" s="8">
        <v>59698</v>
      </c>
      <c r="J17" s="8">
        <v>2</v>
      </c>
      <c r="K17" s="8">
        <v>1.05</v>
      </c>
      <c r="L17" s="16">
        <f t="shared" si="32"/>
        <v>1.5535665000000001</v>
      </c>
      <c r="M17" s="37">
        <f>4224*3</f>
        <v>12672</v>
      </c>
      <c r="N17" s="15">
        <f t="shared" si="20"/>
        <v>85678.75053450001</v>
      </c>
      <c r="O17" s="15">
        <f t="shared" si="21"/>
        <v>48519.572398452932</v>
      </c>
      <c r="Q17" s="15">
        <f t="shared" si="22"/>
        <v>48519.572398452932</v>
      </c>
      <c r="R17" s="15">
        <f t="shared" si="23"/>
        <v>62200</v>
      </c>
      <c r="S17" s="17">
        <v>4.19E-2</v>
      </c>
      <c r="U17" s="18">
        <f>5538+19928+17468</f>
        <v>42934</v>
      </c>
      <c r="V17" s="18">
        <f>6210+26197+14586</f>
        <v>46993</v>
      </c>
      <c r="W17" s="19">
        <f>V17/8/36/12</f>
        <v>13.597511574074074</v>
      </c>
      <c r="X17" s="18">
        <f t="shared" si="24"/>
        <v>52901</v>
      </c>
      <c r="Y17" s="18">
        <f t="shared" si="24"/>
        <v>60243</v>
      </c>
      <c r="Z17" s="17">
        <f t="shared" si="25"/>
        <v>9.4540457446312939E-2</v>
      </c>
      <c r="AA17" s="15">
        <v>2987</v>
      </c>
      <c r="AB17" s="15">
        <f t="shared" si="26"/>
        <v>349257.9793152645</v>
      </c>
      <c r="AC17" s="17">
        <v>4.8000000000000001E-2</v>
      </c>
      <c r="AD17" s="15">
        <v>172368</v>
      </c>
      <c r="AE17" s="15">
        <v>176000</v>
      </c>
      <c r="AF17" s="17">
        <f t="shared" si="27"/>
        <v>2.1071196509793E-2</v>
      </c>
      <c r="AG17" s="15">
        <v>175355</v>
      </c>
      <c r="AH17" s="15">
        <v>176000</v>
      </c>
      <c r="AI17" s="17">
        <f t="shared" si="28"/>
        <v>3.6782526874055486E-3</v>
      </c>
      <c r="AJ17" s="15">
        <v>98317</v>
      </c>
      <c r="AK17" s="15">
        <v>101000</v>
      </c>
      <c r="AL17" s="17">
        <f t="shared" si="29"/>
        <v>2.7289278558133383E-2</v>
      </c>
      <c r="AM17" s="20">
        <f t="shared" si="30"/>
        <v>115657</v>
      </c>
      <c r="AN17" s="20">
        <f t="shared" si="30"/>
        <v>113800</v>
      </c>
      <c r="AO17" s="17">
        <f t="shared" si="31"/>
        <v>-1.6056096907234321E-2</v>
      </c>
      <c r="AP17" s="21">
        <v>92</v>
      </c>
      <c r="AQ17" s="21">
        <v>134</v>
      </c>
    </row>
    <row r="18" spans="1:43" x14ac:dyDescent="0.25">
      <c r="A18" s="22" t="s">
        <v>57</v>
      </c>
      <c r="B18" s="22" t="s">
        <v>73</v>
      </c>
      <c r="C18" s="23">
        <f t="shared" ref="C18:I18" si="34">SUM(C11:C17)</f>
        <v>681347</v>
      </c>
      <c r="D18" s="23">
        <f t="shared" si="34"/>
        <v>784795</v>
      </c>
      <c r="E18" s="23">
        <f t="shared" si="34"/>
        <v>791212</v>
      </c>
      <c r="F18" s="23">
        <f t="shared" si="34"/>
        <v>912279</v>
      </c>
      <c r="G18" s="23">
        <f t="shared" si="34"/>
        <v>250885.74982568156</v>
      </c>
      <c r="H18" s="23">
        <f t="shared" si="34"/>
        <v>298301.84105357819</v>
      </c>
      <c r="I18" s="23">
        <f t="shared" si="34"/>
        <v>608698</v>
      </c>
      <c r="J18" s="23"/>
      <c r="K18" s="23"/>
      <c r="L18" s="23">
        <f>SUM(L11:L17)</f>
        <v>12.437886499999999</v>
      </c>
      <c r="M18" s="38"/>
      <c r="N18" s="23">
        <f>SUM(N11:N17)</f>
        <v>302553.66577750002</v>
      </c>
      <c r="O18" s="23">
        <f>SUM(O11:O17)</f>
        <v>262170.59396333038</v>
      </c>
      <c r="P18" s="23">
        <f>SUM(P11:P17)</f>
        <v>0</v>
      </c>
      <c r="Q18" s="23">
        <f>SUM(Q11:Q17)</f>
        <v>262170.59396333038</v>
      </c>
      <c r="R18" s="23">
        <f>SUM(R11:R17)</f>
        <v>865338.97899300698</v>
      </c>
      <c r="S18" s="24">
        <f>IF(E18&gt;0,(F18-E18)/E18,"")</f>
        <v>0.15301461555183693</v>
      </c>
      <c r="T18" s="24"/>
      <c r="U18" s="25">
        <f>SUM(U11:U17)</f>
        <v>165007</v>
      </c>
      <c r="V18" s="25">
        <f>SUM(V11:V17)</f>
        <v>164433</v>
      </c>
      <c r="W18" s="25"/>
      <c r="X18" s="25">
        <f>SUM(X11:X17)</f>
        <v>436203</v>
      </c>
      <c r="Y18" s="25">
        <f>SUM(Y11:Y17)</f>
        <v>419128</v>
      </c>
      <c r="Z18" s="24">
        <f>IF(U18&gt;0,(V18-U18)/U18,"")</f>
        <v>-3.4786403001084805E-3</v>
      </c>
      <c r="AA18" s="23">
        <f>SUM(AA11:AA17)</f>
        <v>28607</v>
      </c>
      <c r="AB18" s="23">
        <f>SUM(AB11:AB17)</f>
        <v>1968186.8304162715</v>
      </c>
      <c r="AC18" s="17">
        <v>4.8000000000000001E-2</v>
      </c>
      <c r="AD18" s="23">
        <f>SUM(AD11:AD17)</f>
        <v>1902444</v>
      </c>
      <c r="AE18" s="23">
        <f>SUM(AE11:AE17)</f>
        <v>2045946</v>
      </c>
      <c r="AF18" s="24">
        <f t="shared" si="27"/>
        <v>7.5430341182184599E-2</v>
      </c>
      <c r="AG18" s="23">
        <f>SUM(AG11:AG17)</f>
        <v>1907550</v>
      </c>
      <c r="AH18" s="23">
        <f>SUM(AH11:AH17)</f>
        <v>2014986</v>
      </c>
      <c r="AI18" s="24">
        <f t="shared" si="28"/>
        <v>5.6321459463709991E-2</v>
      </c>
      <c r="AJ18" s="23">
        <f>SUM(AJ11:AJ17)</f>
        <v>1492301</v>
      </c>
      <c r="AK18" s="23">
        <f>SUM(AK11:AK17)</f>
        <v>1589556</v>
      </c>
      <c r="AL18" s="24">
        <f t="shared" si="29"/>
        <v>6.5171168551116695E-2</v>
      </c>
      <c r="AM18" s="20">
        <f t="shared" si="30"/>
        <v>1116338</v>
      </c>
      <c r="AN18" s="20">
        <f t="shared" si="30"/>
        <v>1102707</v>
      </c>
      <c r="AO18" s="24">
        <f t="shared" si="31"/>
        <v>-1.2210459556155932E-2</v>
      </c>
      <c r="AP18" s="26"/>
      <c r="AQ18" s="21"/>
    </row>
    <row r="19" spans="1:43" x14ac:dyDescent="0.25">
      <c r="A19" s="9" t="s">
        <v>74</v>
      </c>
      <c r="B19" s="10"/>
      <c r="C19" s="11"/>
      <c r="D19" s="11"/>
      <c r="E19" s="11"/>
      <c r="F19" s="11"/>
      <c r="G19" s="11"/>
      <c r="H19" s="11"/>
      <c r="I19" s="10"/>
      <c r="J19" s="10"/>
      <c r="K19" s="10"/>
      <c r="L19" s="10"/>
      <c r="M19" s="35"/>
      <c r="N19" s="39"/>
      <c r="O19" s="39" t="str">
        <f>IF(ROUNDDOWN((O9-(E9*U9/X9))/(E9*U9/X9)*100,0)&gt;0,"+"&amp;ROUNDDOWN((O9-(E9*U9/X9))/(E9*U9/X9)*100,0)&amp;"% /2025",ROUNDDOWN((O9-(E9*U9/X9))/(E9*U9/X9)*100,0)&amp;"% /2025")</f>
        <v>+10% /2025</v>
      </c>
      <c r="P19" s="39"/>
      <c r="Q19" s="11"/>
      <c r="R19" s="11"/>
      <c r="S19" s="12"/>
      <c r="T19" s="12"/>
      <c r="U19" s="13"/>
      <c r="V19" s="13"/>
      <c r="W19" s="13"/>
      <c r="X19" s="13"/>
      <c r="Y19" s="13"/>
      <c r="Z19" s="12"/>
      <c r="AA19" s="11"/>
      <c r="AB19" s="11"/>
      <c r="AC19" s="12"/>
      <c r="AD19" s="11"/>
      <c r="AE19" s="11"/>
      <c r="AF19" s="12"/>
      <c r="AG19" s="11"/>
      <c r="AH19" s="11"/>
      <c r="AI19" s="12"/>
      <c r="AJ19" s="11"/>
      <c r="AK19" s="11"/>
      <c r="AL19" s="12"/>
      <c r="AM19" s="12"/>
      <c r="AN19" s="12"/>
      <c r="AO19" s="12"/>
      <c r="AP19" s="14"/>
      <c r="AQ19" s="21"/>
    </row>
    <row r="20" spans="1:43" x14ac:dyDescent="0.25">
      <c r="A20" s="8" t="s">
        <v>59</v>
      </c>
      <c r="B20" s="36" t="s">
        <v>60</v>
      </c>
      <c r="C20" s="15">
        <v>157127</v>
      </c>
      <c r="D20" s="15">
        <v>144000</v>
      </c>
      <c r="E20" s="15">
        <v>163251</v>
      </c>
      <c r="F20" s="15">
        <v>187000</v>
      </c>
      <c r="G20" s="15">
        <f t="shared" ref="G20:H28" si="35">E20*U20/X20</f>
        <v>33921.030342944148</v>
      </c>
      <c r="H20" s="15">
        <f t="shared" si="35"/>
        <v>40608.692910207734</v>
      </c>
      <c r="I20" s="8">
        <v>164000</v>
      </c>
      <c r="J20" s="8">
        <v>2.1</v>
      </c>
      <c r="K20" s="8">
        <v>1.1000000000000001</v>
      </c>
      <c r="L20" s="16">
        <f>MAX(K20, J20 - (V20 * (J20 - K20) / 20000))</f>
        <v>1.23915</v>
      </c>
      <c r="M20" s="37">
        <v>5280</v>
      </c>
      <c r="N20" s="15">
        <f t="shared" ref="N20:N28" si="36">IF(V20&gt;0,M20+L20*V20,0)</f>
        <v>26614.44555</v>
      </c>
      <c r="O20" s="15">
        <f t="shared" ref="O20:O28" si="37">IF(N20&gt;H20,H20,N20)</f>
        <v>26614.44555</v>
      </c>
      <c r="Q20" s="15">
        <f t="shared" ref="Q20:Q28" si="38">O20+P20</f>
        <v>26614.44555</v>
      </c>
      <c r="R20" s="15">
        <f t="shared" ref="R20:R28" si="39">SUMIF(B:B,B20,Q:Q)</f>
        <v>141497.52127616666</v>
      </c>
      <c r="S20" s="17">
        <v>0.14549999999999999</v>
      </c>
      <c r="U20" s="18">
        <v>17195</v>
      </c>
      <c r="V20" s="18">
        <v>17217</v>
      </c>
      <c r="X20" s="18">
        <f t="shared" ref="X20:Y28" si="40">SUMIF($B$11:$B$40,$B20,U$11:U$40)</f>
        <v>82754</v>
      </c>
      <c r="Y20" s="18">
        <f t="shared" si="40"/>
        <v>79283</v>
      </c>
      <c r="Z20" s="17">
        <f t="shared" ref="Z20:Z28" si="41">IF(AND(ISNUMBER(U20), U20&gt;0), (V20-U20)/U20, "")</f>
        <v>1.2794416981680721E-3</v>
      </c>
      <c r="AA20" s="15">
        <f>AA11</f>
        <v>49299</v>
      </c>
      <c r="AB20" s="15">
        <f t="shared" ref="AB20:AB28" si="42">SUMIF(A:A,A20,Q:Q)</f>
        <v>165097.52127616666</v>
      </c>
      <c r="AC20" s="17">
        <v>0.12939999999999999</v>
      </c>
      <c r="AD20" s="15">
        <v>360491</v>
      </c>
      <c r="AE20" s="15">
        <v>429324</v>
      </c>
      <c r="AF20" s="17">
        <f t="shared" ref="AF20:AF29" si="43">(AE20-AD20)/AD20</f>
        <v>0.19094235362325274</v>
      </c>
      <c r="AG20" s="15">
        <v>413036</v>
      </c>
      <c r="AH20" s="15">
        <v>429324</v>
      </c>
      <c r="AI20" s="17">
        <f t="shared" ref="AI20:AI29" si="44">(AH20-AG20)/AG20</f>
        <v>3.9434819240937835E-2</v>
      </c>
      <c r="AJ20" s="15">
        <v>319297</v>
      </c>
      <c r="AK20" s="15">
        <v>367000</v>
      </c>
      <c r="AL20" s="17">
        <f t="shared" ref="AL20:AL29" si="45">(AK20-AJ20)/AJ20</f>
        <v>0.14940008831902585</v>
      </c>
      <c r="AM20" s="20">
        <f t="shared" ref="AM20:AN29" si="46">AG20-E20</f>
        <v>249785</v>
      </c>
      <c r="AN20" s="20">
        <f t="shared" si="46"/>
        <v>242324</v>
      </c>
      <c r="AO20" s="17">
        <f t="shared" ref="AO20:AO29" si="47">(AN20-AM20)/AM20</f>
        <v>-2.9869687931621196E-2</v>
      </c>
      <c r="AP20" s="21">
        <v>166</v>
      </c>
      <c r="AQ20" s="21">
        <v>166</v>
      </c>
    </row>
    <row r="21" spans="1:43" x14ac:dyDescent="0.25">
      <c r="A21" s="8" t="s">
        <v>42</v>
      </c>
      <c r="B21" s="36" t="s">
        <v>61</v>
      </c>
      <c r="C21" s="15">
        <v>59914</v>
      </c>
      <c r="D21" s="15">
        <v>95971</v>
      </c>
      <c r="E21" s="15">
        <v>78595</v>
      </c>
      <c r="F21" s="15">
        <v>80000</v>
      </c>
      <c r="G21" s="15">
        <f t="shared" si="35"/>
        <v>19528.937086379792</v>
      </c>
      <c r="H21" s="15">
        <f t="shared" si="35"/>
        <v>21107.205086662794</v>
      </c>
      <c r="I21" s="8">
        <v>80000</v>
      </c>
      <c r="J21" s="8">
        <v>2.1</v>
      </c>
      <c r="K21" s="8">
        <v>1.1000000000000001</v>
      </c>
      <c r="L21" s="16">
        <f t="shared" ref="L21:L28" si="48">MAX(K21, J21 - (V21 * (J21 - K21) / 20000))</f>
        <v>1.66845</v>
      </c>
      <c r="M21" s="37">
        <v>5280</v>
      </c>
      <c r="N21" s="15">
        <f t="shared" si="36"/>
        <v>19680.391949999997</v>
      </c>
      <c r="O21" s="15">
        <f t="shared" si="37"/>
        <v>19680.391949999997</v>
      </c>
      <c r="Q21" s="15">
        <f t="shared" si="38"/>
        <v>19680.391949999997</v>
      </c>
      <c r="R21" s="15">
        <f t="shared" si="39"/>
        <v>81347.415198909206</v>
      </c>
      <c r="S21" s="17">
        <v>1.7899999999999999E-2</v>
      </c>
      <c r="U21" s="18">
        <v>8598</v>
      </c>
      <c r="V21" s="18">
        <v>8631</v>
      </c>
      <c r="X21" s="18">
        <f t="shared" si="40"/>
        <v>34603</v>
      </c>
      <c r="Y21" s="18">
        <f t="shared" si="40"/>
        <v>32713</v>
      </c>
      <c r="Z21" s="17">
        <f t="shared" si="41"/>
        <v>3.8381018841591066E-3</v>
      </c>
      <c r="AA21" s="15">
        <f>AA12</f>
        <v>8500</v>
      </c>
      <c r="AB21" s="15">
        <f t="shared" si="42"/>
        <v>174647.41519890921</v>
      </c>
      <c r="AC21" s="17">
        <v>6.0199999999999997E-2</v>
      </c>
      <c r="AD21" s="15">
        <v>193719</v>
      </c>
      <c r="AE21" s="15">
        <v>184266</v>
      </c>
      <c r="AF21" s="17">
        <f t="shared" si="43"/>
        <v>-4.8797485016957555E-2</v>
      </c>
      <c r="AG21" s="15">
        <v>186709</v>
      </c>
      <c r="AH21" s="15">
        <v>189195</v>
      </c>
      <c r="AI21" s="17">
        <f t="shared" si="44"/>
        <v>1.3314837527917775E-2</v>
      </c>
      <c r="AJ21" s="15">
        <v>151287</v>
      </c>
      <c r="AK21" s="15">
        <v>140985</v>
      </c>
      <c r="AL21" s="17">
        <f t="shared" si="45"/>
        <v>-6.8095738563128352E-2</v>
      </c>
      <c r="AM21" s="20">
        <f t="shared" si="46"/>
        <v>108114</v>
      </c>
      <c r="AN21" s="20">
        <f t="shared" si="46"/>
        <v>109195</v>
      </c>
      <c r="AO21" s="17">
        <f t="shared" si="47"/>
        <v>9.9987050705736529E-3</v>
      </c>
      <c r="AP21" s="21">
        <v>80</v>
      </c>
      <c r="AQ21" s="21">
        <v>83</v>
      </c>
    </row>
    <row r="22" spans="1:43" x14ac:dyDescent="0.25">
      <c r="A22" s="8" t="s">
        <v>54</v>
      </c>
      <c r="B22" s="36" t="s">
        <v>55</v>
      </c>
      <c r="C22" s="15">
        <v>56679</v>
      </c>
      <c r="D22" s="15">
        <v>136027</v>
      </c>
      <c r="E22" s="15">
        <v>95102</v>
      </c>
      <c r="F22" s="15">
        <v>114726</v>
      </c>
      <c r="G22" s="15">
        <f t="shared" si="35"/>
        <v>21153.042844120329</v>
      </c>
      <c r="H22" s="15">
        <f t="shared" si="35"/>
        <v>26369.262858264625</v>
      </c>
      <c r="I22" s="8" t="s">
        <v>62</v>
      </c>
      <c r="J22" s="8">
        <v>2.1</v>
      </c>
      <c r="K22" s="8">
        <v>1.1000000000000001</v>
      </c>
      <c r="L22" s="16">
        <f t="shared" si="48"/>
        <v>1.74875</v>
      </c>
      <c r="M22" s="37">
        <v>5280</v>
      </c>
      <c r="N22" s="15">
        <f t="shared" si="36"/>
        <v>17564.96875</v>
      </c>
      <c r="O22" s="15">
        <f t="shared" si="37"/>
        <v>17564.96875</v>
      </c>
      <c r="Q22" s="15">
        <f t="shared" si="38"/>
        <v>17564.96875</v>
      </c>
      <c r="R22" s="15">
        <f t="shared" si="39"/>
        <v>152642.91105566666</v>
      </c>
      <c r="S22" s="17">
        <v>0.20630000000000001</v>
      </c>
      <c r="U22" s="18">
        <v>7808</v>
      </c>
      <c r="V22" s="18">
        <v>7025</v>
      </c>
      <c r="X22" s="18">
        <f t="shared" si="40"/>
        <v>35104</v>
      </c>
      <c r="Y22" s="18">
        <f t="shared" si="40"/>
        <v>30564</v>
      </c>
      <c r="Z22" s="17">
        <f t="shared" si="41"/>
        <v>-0.10028176229508197</v>
      </c>
      <c r="AA22" s="15">
        <f>AA13</f>
        <v>-18107</v>
      </c>
      <c r="AB22" s="15">
        <f t="shared" si="42"/>
        <v>152642.91105566666</v>
      </c>
      <c r="AC22" s="17">
        <v>0.2833</v>
      </c>
      <c r="AD22" s="15">
        <v>219795</v>
      </c>
      <c r="AE22" s="15">
        <v>210679</v>
      </c>
      <c r="AF22" s="17">
        <f t="shared" si="43"/>
        <v>-4.1475010805523328E-2</v>
      </c>
      <c r="AG22" s="15">
        <v>201688</v>
      </c>
      <c r="AH22" s="15">
        <v>210679</v>
      </c>
      <c r="AI22" s="17">
        <f t="shared" si="44"/>
        <v>4.4578755305223913E-2</v>
      </c>
      <c r="AJ22" s="15">
        <v>171379</v>
      </c>
      <c r="AK22" s="15">
        <v>167441</v>
      </c>
      <c r="AL22" s="17">
        <f t="shared" si="45"/>
        <v>-2.2978311228330193E-2</v>
      </c>
      <c r="AM22" s="20">
        <f t="shared" si="46"/>
        <v>106586</v>
      </c>
      <c r="AN22" s="20">
        <f t="shared" si="46"/>
        <v>95953</v>
      </c>
      <c r="AO22" s="17">
        <f t="shared" si="47"/>
        <v>-9.975981836263674E-2</v>
      </c>
      <c r="AP22" s="21">
        <v>62</v>
      </c>
      <c r="AQ22" s="21">
        <v>74</v>
      </c>
    </row>
    <row r="23" spans="1:43" x14ac:dyDescent="0.25">
      <c r="A23" s="8" t="s">
        <v>63</v>
      </c>
      <c r="B23" s="36" t="s">
        <v>64</v>
      </c>
      <c r="C23" s="15">
        <v>130627</v>
      </c>
      <c r="D23" s="15">
        <v>90100</v>
      </c>
      <c r="E23" s="15">
        <v>102566</v>
      </c>
      <c r="F23" s="15">
        <v>135353</v>
      </c>
      <c r="G23" s="15">
        <f t="shared" si="35"/>
        <v>13095.244877520639</v>
      </c>
      <c r="H23" s="15">
        <f t="shared" si="35"/>
        <v>19420.811543025029</v>
      </c>
      <c r="I23" s="8" t="s">
        <v>65</v>
      </c>
      <c r="J23" s="8">
        <v>2.1</v>
      </c>
      <c r="K23" s="8">
        <v>1.1000000000000001</v>
      </c>
      <c r="L23" s="16">
        <f t="shared" si="48"/>
        <v>1.84605</v>
      </c>
      <c r="M23" s="37">
        <v>5280</v>
      </c>
      <c r="N23" s="15">
        <f t="shared" si="36"/>
        <v>14656.087949999999</v>
      </c>
      <c r="O23" s="15">
        <f t="shared" si="37"/>
        <v>14656.087949999999</v>
      </c>
      <c r="Q23" s="15">
        <f t="shared" si="38"/>
        <v>14656.087949999999</v>
      </c>
      <c r="R23" s="15">
        <f t="shared" si="39"/>
        <v>100798.92258033331</v>
      </c>
      <c r="S23" s="17">
        <v>0.31969999999999998</v>
      </c>
      <c r="U23" s="18">
        <v>4717</v>
      </c>
      <c r="V23" s="18">
        <v>5079</v>
      </c>
      <c r="X23" s="18">
        <f t="shared" si="40"/>
        <v>36945</v>
      </c>
      <c r="Y23" s="18">
        <f t="shared" si="40"/>
        <v>35398</v>
      </c>
      <c r="Z23" s="17">
        <f t="shared" si="41"/>
        <v>7.6743693025227905E-2</v>
      </c>
      <c r="AA23" s="15">
        <f>AA14</f>
        <v>-8000</v>
      </c>
      <c r="AB23" s="15">
        <f t="shared" si="42"/>
        <v>100798.92258033331</v>
      </c>
      <c r="AC23" s="17">
        <v>0.315</v>
      </c>
      <c r="AD23" s="15">
        <v>205403</v>
      </c>
      <c r="AE23" s="15">
        <v>232844</v>
      </c>
      <c r="AF23" s="17">
        <f t="shared" si="43"/>
        <v>0.1335959065836429</v>
      </c>
      <c r="AG23" s="15">
        <v>197275</v>
      </c>
      <c r="AH23" s="15">
        <v>232594</v>
      </c>
      <c r="AI23" s="17">
        <f t="shared" si="44"/>
        <v>0.17903434292231657</v>
      </c>
      <c r="AJ23" s="15">
        <v>153394</v>
      </c>
      <c r="AK23" s="15">
        <v>178453</v>
      </c>
      <c r="AL23" s="17">
        <f t="shared" si="45"/>
        <v>0.16336362569592031</v>
      </c>
      <c r="AM23" s="20">
        <f t="shared" si="46"/>
        <v>94709</v>
      </c>
      <c r="AN23" s="20">
        <f t="shared" si="46"/>
        <v>97241</v>
      </c>
      <c r="AO23" s="17">
        <f t="shared" si="47"/>
        <v>2.6734523646115997E-2</v>
      </c>
      <c r="AP23" s="21">
        <v>94</v>
      </c>
      <c r="AQ23" s="21">
        <v>94</v>
      </c>
    </row>
    <row r="24" spans="1:43" x14ac:dyDescent="0.25">
      <c r="A24" s="8" t="s">
        <v>45</v>
      </c>
      <c r="B24" s="36" t="s">
        <v>66</v>
      </c>
      <c r="C24" s="15">
        <v>52000</v>
      </c>
      <c r="D24" s="15">
        <v>110000</v>
      </c>
      <c r="E24" s="15">
        <v>152000</v>
      </c>
      <c r="F24" s="15">
        <v>178000</v>
      </c>
      <c r="G24" s="15">
        <f t="shared" si="35"/>
        <v>16934.884872493192</v>
      </c>
      <c r="H24" s="15">
        <f t="shared" si="35"/>
        <v>21080.720435921965</v>
      </c>
      <c r="I24" s="8">
        <v>150000</v>
      </c>
      <c r="J24" s="8">
        <v>2.1</v>
      </c>
      <c r="K24" s="8">
        <v>1.1000000000000001</v>
      </c>
      <c r="L24" s="16">
        <f t="shared" si="48"/>
        <v>1.3882000000000001</v>
      </c>
      <c r="M24" s="37">
        <v>5280</v>
      </c>
      <c r="N24" s="15">
        <f t="shared" si="36"/>
        <v>25042.415200000003</v>
      </c>
      <c r="O24" s="15">
        <f t="shared" si="37"/>
        <v>21080.720435921965</v>
      </c>
      <c r="Q24" s="15">
        <f t="shared" si="38"/>
        <v>21080.720435921965</v>
      </c>
      <c r="R24" s="15">
        <f t="shared" si="39"/>
        <v>178000</v>
      </c>
      <c r="S24" s="17">
        <v>0.1711</v>
      </c>
      <c r="U24" s="18">
        <v>14400</v>
      </c>
      <c r="V24" s="18">
        <v>14236</v>
      </c>
      <c r="X24" s="18">
        <f t="shared" si="40"/>
        <v>129248</v>
      </c>
      <c r="Y24" s="18">
        <f t="shared" si="40"/>
        <v>120205</v>
      </c>
      <c r="Z24" s="17">
        <f t="shared" si="41"/>
        <v>-1.1388888888888889E-2</v>
      </c>
      <c r="AA24" s="15">
        <f>AA15</f>
        <v>-5685</v>
      </c>
      <c r="AB24" s="15">
        <f t="shared" si="42"/>
        <v>676484.10167466663</v>
      </c>
      <c r="AC24" s="17">
        <v>0.1951</v>
      </c>
      <c r="AD24" s="15">
        <v>437530</v>
      </c>
      <c r="AE24" s="15">
        <v>482674</v>
      </c>
      <c r="AF24" s="17">
        <f t="shared" si="43"/>
        <v>0.10317921056841817</v>
      </c>
      <c r="AG24" s="15">
        <v>431845</v>
      </c>
      <c r="AH24" s="15">
        <v>483335</v>
      </c>
      <c r="AI24" s="17">
        <f t="shared" si="44"/>
        <v>0.11923259502830877</v>
      </c>
      <c r="AJ24" s="15">
        <v>343438</v>
      </c>
      <c r="AK24" s="15">
        <v>383460</v>
      </c>
      <c r="AL24" s="17">
        <f t="shared" si="45"/>
        <v>0.11653340632079152</v>
      </c>
      <c r="AM24" s="20">
        <f t="shared" si="46"/>
        <v>279845</v>
      </c>
      <c r="AN24" s="20">
        <f t="shared" si="46"/>
        <v>305335</v>
      </c>
      <c r="AO24" s="17">
        <f t="shared" si="47"/>
        <v>9.1086136968679093E-2</v>
      </c>
      <c r="AP24" s="21">
        <v>148</v>
      </c>
      <c r="AQ24" s="21">
        <v>182</v>
      </c>
    </row>
    <row r="25" spans="1:43" x14ac:dyDescent="0.25">
      <c r="A25" s="8" t="s">
        <v>68</v>
      </c>
      <c r="B25" s="36" t="s">
        <v>69</v>
      </c>
      <c r="C25" s="15">
        <v>77988</v>
      </c>
      <c r="D25" s="15">
        <v>20500</v>
      </c>
      <c r="E25" s="15">
        <v>39226</v>
      </c>
      <c r="F25" s="15">
        <v>53000</v>
      </c>
      <c r="G25" s="15">
        <f t="shared" si="35"/>
        <v>9961.8065610859721</v>
      </c>
      <c r="H25" s="15">
        <f t="shared" si="35"/>
        <v>15835.303235807014</v>
      </c>
      <c r="I25" s="8">
        <v>50000</v>
      </c>
      <c r="J25" s="8">
        <v>2.1</v>
      </c>
      <c r="K25" s="8">
        <v>1.1000000000000001</v>
      </c>
      <c r="L25" s="16">
        <f t="shared" si="48"/>
        <v>1.8687</v>
      </c>
      <c r="M25" s="37">
        <v>5280</v>
      </c>
      <c r="N25" s="15">
        <f t="shared" si="36"/>
        <v>13924.6062</v>
      </c>
      <c r="O25" s="15">
        <f t="shared" si="37"/>
        <v>13924.6062</v>
      </c>
      <c r="Q25" s="15">
        <f t="shared" si="38"/>
        <v>13924.6062</v>
      </c>
      <c r="R25" s="15">
        <f t="shared" si="39"/>
        <v>47589.123532999998</v>
      </c>
      <c r="S25" s="17">
        <v>0.35110000000000002</v>
      </c>
      <c r="U25" s="18">
        <v>3143</v>
      </c>
      <c r="V25" s="18">
        <v>4626</v>
      </c>
      <c r="X25" s="18">
        <f t="shared" si="40"/>
        <v>12376</v>
      </c>
      <c r="Y25" s="18">
        <f t="shared" si="40"/>
        <v>15483</v>
      </c>
      <c r="Z25" s="17">
        <f t="shared" si="41"/>
        <v>0.47184218899140951</v>
      </c>
      <c r="AA25" s="15" t="e">
        <f>#REF!</f>
        <v>#REF!</v>
      </c>
      <c r="AB25" s="15">
        <f t="shared" si="42"/>
        <v>47589.123532999998</v>
      </c>
      <c r="AC25" s="17">
        <v>0.35110000000000002</v>
      </c>
      <c r="AD25" s="15">
        <v>59771</v>
      </c>
      <c r="AE25" s="15">
        <v>79818</v>
      </c>
      <c r="AF25" s="17">
        <f t="shared" si="43"/>
        <v>0.33539676431714377</v>
      </c>
      <c r="AG25" s="15">
        <v>901</v>
      </c>
      <c r="AH25" s="15">
        <v>700</v>
      </c>
      <c r="AI25" s="17">
        <f t="shared" si="44"/>
        <v>-0.22308546059933407</v>
      </c>
      <c r="AJ25" s="15">
        <v>57906</v>
      </c>
      <c r="AK25" s="15">
        <v>78000</v>
      </c>
      <c r="AL25" s="17">
        <f t="shared" si="45"/>
        <v>0.34701067246917416</v>
      </c>
      <c r="AM25" s="20">
        <f t="shared" si="46"/>
        <v>-38325</v>
      </c>
      <c r="AN25" s="20">
        <f t="shared" si="46"/>
        <v>-52300</v>
      </c>
      <c r="AO25" s="17">
        <f t="shared" si="47"/>
        <v>0.36464448793215914</v>
      </c>
      <c r="AP25" s="21">
        <v>132</v>
      </c>
      <c r="AQ25" s="21">
        <v>132</v>
      </c>
    </row>
    <row r="26" spans="1:43" x14ac:dyDescent="0.25">
      <c r="A26" s="8" t="s">
        <v>49</v>
      </c>
      <c r="B26" s="36" t="s">
        <v>70</v>
      </c>
      <c r="C26" s="15">
        <v>87632</v>
      </c>
      <c r="D26" s="15">
        <v>78000</v>
      </c>
      <c r="E26" s="15">
        <v>55676</v>
      </c>
      <c r="F26" s="15">
        <v>68612</v>
      </c>
      <c r="G26" s="15">
        <f t="shared" si="35"/>
        <v>16628.374613624503</v>
      </c>
      <c r="H26" s="15">
        <f t="shared" si="35"/>
        <v>22574.70399225318</v>
      </c>
      <c r="I26" s="8">
        <v>56000</v>
      </c>
      <c r="J26" s="8">
        <v>2.1</v>
      </c>
      <c r="K26" s="8">
        <v>1.1000000000000001</v>
      </c>
      <c r="L26" s="16">
        <f t="shared" si="48"/>
        <v>1.7262500000000001</v>
      </c>
      <c r="M26" s="37">
        <v>5280</v>
      </c>
      <c r="N26" s="15">
        <f t="shared" si="36"/>
        <v>18183.71875</v>
      </c>
      <c r="O26" s="15">
        <f t="shared" si="37"/>
        <v>18183.71875</v>
      </c>
      <c r="Q26" s="15">
        <f t="shared" si="38"/>
        <v>18183.71875</v>
      </c>
      <c r="R26" s="15">
        <f t="shared" si="39"/>
        <v>70808.786328666669</v>
      </c>
      <c r="S26" s="17">
        <v>0.23230000000000001</v>
      </c>
      <c r="U26" s="18">
        <v>7440</v>
      </c>
      <c r="V26" s="18">
        <v>7475</v>
      </c>
      <c r="X26" s="18">
        <f t="shared" si="40"/>
        <v>24911</v>
      </c>
      <c r="Y26" s="18">
        <f t="shared" si="40"/>
        <v>22719</v>
      </c>
      <c r="Z26" s="17">
        <f t="shared" si="41"/>
        <v>4.7043010752688174E-3</v>
      </c>
      <c r="AA26" s="15" t="e">
        <f>#REF!</f>
        <v>#REF!</v>
      </c>
      <c r="AB26" s="15">
        <f t="shared" si="42"/>
        <v>163635.56864866667</v>
      </c>
      <c r="AC26" s="17">
        <v>0.4516</v>
      </c>
      <c r="AD26" s="15">
        <v>132774</v>
      </c>
      <c r="AE26" s="15">
        <v>149010</v>
      </c>
      <c r="AF26" s="17">
        <f t="shared" si="43"/>
        <v>0.12228297708888788</v>
      </c>
      <c r="AG26" s="15">
        <v>139429</v>
      </c>
      <c r="AH26" s="15">
        <v>149010</v>
      </c>
      <c r="AI26" s="17">
        <f t="shared" si="44"/>
        <v>6.8715977307446802E-2</v>
      </c>
      <c r="AJ26" s="15">
        <v>107806</v>
      </c>
      <c r="AK26" s="15">
        <v>116950</v>
      </c>
      <c r="AL26" s="17">
        <f t="shared" si="45"/>
        <v>8.4819026770309627E-2</v>
      </c>
      <c r="AM26" s="20">
        <f t="shared" si="46"/>
        <v>83753</v>
      </c>
      <c r="AN26" s="20">
        <f t="shared" si="46"/>
        <v>80398</v>
      </c>
      <c r="AO26" s="17">
        <f t="shared" si="47"/>
        <v>-4.0058266569555717E-2</v>
      </c>
      <c r="AP26" s="21">
        <v>108</v>
      </c>
      <c r="AQ26" s="21">
        <v>108</v>
      </c>
    </row>
    <row r="27" spans="1:43" x14ac:dyDescent="0.25">
      <c r="A27" s="8" t="s">
        <v>52</v>
      </c>
      <c r="B27" s="36" t="s">
        <v>71</v>
      </c>
      <c r="C27" s="15">
        <v>220000</v>
      </c>
      <c r="D27" s="15">
        <v>158000</v>
      </c>
      <c r="E27" s="15">
        <v>140000</v>
      </c>
      <c r="F27" s="15">
        <v>155000</v>
      </c>
      <c r="G27" s="15">
        <f t="shared" si="35"/>
        <v>29629.377552283135</v>
      </c>
      <c r="H27" s="15">
        <f t="shared" si="35"/>
        <v>35994.450116926317</v>
      </c>
      <c r="I27" s="8">
        <v>155000</v>
      </c>
      <c r="J27" s="8">
        <v>2.1</v>
      </c>
      <c r="K27" s="8">
        <v>1.1000000000000001</v>
      </c>
      <c r="L27" s="16">
        <f t="shared" si="48"/>
        <v>1.3949500000000001</v>
      </c>
      <c r="M27" s="37">
        <v>5280</v>
      </c>
      <c r="N27" s="15">
        <f t="shared" si="36"/>
        <v>24950.189950000004</v>
      </c>
      <c r="O27" s="15">
        <f t="shared" si="37"/>
        <v>24950.189950000004</v>
      </c>
      <c r="Q27" s="15">
        <f t="shared" si="38"/>
        <v>24950.189950000004</v>
      </c>
      <c r="R27" s="15">
        <f t="shared" si="39"/>
        <v>148852.20888193115</v>
      </c>
      <c r="S27" s="17">
        <v>0.1071</v>
      </c>
      <c r="U27" s="18">
        <v>13682</v>
      </c>
      <c r="V27" s="18">
        <v>14101</v>
      </c>
      <c r="X27" s="18">
        <f t="shared" si="40"/>
        <v>64648</v>
      </c>
      <c r="Y27" s="18">
        <f t="shared" si="40"/>
        <v>60722</v>
      </c>
      <c r="Z27" s="17">
        <f t="shared" si="41"/>
        <v>3.0624177751790674E-2</v>
      </c>
      <c r="AA27" s="15">
        <f>AA16</f>
        <v>-387</v>
      </c>
      <c r="AB27" s="15">
        <f t="shared" si="42"/>
        <v>349257.9793152645</v>
      </c>
      <c r="AC27" s="17">
        <v>4.8000000000000001E-2</v>
      </c>
      <c r="AD27" s="15">
        <v>313138</v>
      </c>
      <c r="AE27" s="15">
        <v>330159</v>
      </c>
      <c r="AF27" s="17">
        <f t="shared" si="43"/>
        <v>5.4356226328328087E-2</v>
      </c>
      <c r="AG27" s="15">
        <v>301642</v>
      </c>
      <c r="AH27" s="15">
        <v>293859</v>
      </c>
      <c r="AI27" s="17">
        <f t="shared" si="44"/>
        <v>-2.5802109785772537E-2</v>
      </c>
      <c r="AJ27" s="15">
        <v>255189</v>
      </c>
      <c r="AK27" s="15">
        <v>251217</v>
      </c>
      <c r="AL27" s="17">
        <f t="shared" si="45"/>
        <v>-1.5564934225221306E-2</v>
      </c>
      <c r="AM27" s="20">
        <f t="shared" si="46"/>
        <v>161642</v>
      </c>
      <c r="AN27" s="20">
        <f t="shared" si="46"/>
        <v>138859</v>
      </c>
      <c r="AO27" s="17">
        <f t="shared" si="47"/>
        <v>-0.1409472785538412</v>
      </c>
      <c r="AP27" s="21">
        <v>71</v>
      </c>
      <c r="AQ27" s="21">
        <v>127</v>
      </c>
    </row>
    <row r="28" spans="1:43" x14ac:dyDescent="0.25">
      <c r="A28" s="8" t="s">
        <v>52</v>
      </c>
      <c r="B28" s="36" t="s">
        <v>72</v>
      </c>
      <c r="C28" s="15">
        <v>5000</v>
      </c>
      <c r="D28" s="15">
        <v>50697</v>
      </c>
      <c r="E28" s="15">
        <v>59698</v>
      </c>
      <c r="F28" s="15">
        <v>62200</v>
      </c>
      <c r="G28" s="15">
        <f t="shared" si="35"/>
        <v>3708.2026426721613</v>
      </c>
      <c r="H28" s="15">
        <f t="shared" si="35"/>
        <v>3374.1613133476089</v>
      </c>
      <c r="I28" s="8">
        <v>59698</v>
      </c>
      <c r="J28" s="8">
        <v>2.1</v>
      </c>
      <c r="K28" s="8">
        <v>1.1000000000000001</v>
      </c>
      <c r="L28" s="16">
        <f t="shared" si="48"/>
        <v>1.9366000000000001</v>
      </c>
      <c r="M28" s="37">
        <v>5280</v>
      </c>
      <c r="N28" s="15">
        <f t="shared" si="36"/>
        <v>11608.808800000001</v>
      </c>
      <c r="O28" s="15">
        <f t="shared" si="37"/>
        <v>3374.1613133476089</v>
      </c>
      <c r="Q28" s="15">
        <f t="shared" si="38"/>
        <v>3374.1613133476089</v>
      </c>
      <c r="R28" s="15">
        <f t="shared" si="39"/>
        <v>62200</v>
      </c>
      <c r="S28" s="17">
        <v>4.19E-2</v>
      </c>
      <c r="U28" s="18">
        <v>3286</v>
      </c>
      <c r="V28" s="18">
        <v>3268</v>
      </c>
      <c r="X28" s="18">
        <f t="shared" si="40"/>
        <v>52901</v>
      </c>
      <c r="Y28" s="18">
        <f t="shared" si="40"/>
        <v>60243</v>
      </c>
      <c r="Z28" s="17">
        <f t="shared" si="41"/>
        <v>-5.4777845404747416E-3</v>
      </c>
      <c r="AA28" s="15">
        <f>AA17</f>
        <v>2987</v>
      </c>
      <c r="AB28" s="15">
        <f t="shared" si="42"/>
        <v>349257.9793152645</v>
      </c>
      <c r="AC28" s="17">
        <v>4.8000000000000001E-2</v>
      </c>
      <c r="AD28" s="15">
        <v>172368</v>
      </c>
      <c r="AE28" s="15">
        <v>176000</v>
      </c>
      <c r="AF28" s="17">
        <f t="shared" si="43"/>
        <v>2.1071196509793E-2</v>
      </c>
      <c r="AG28" s="15">
        <v>175355</v>
      </c>
      <c r="AH28" s="15">
        <v>176000</v>
      </c>
      <c r="AI28" s="17">
        <f t="shared" si="44"/>
        <v>3.6782526874055486E-3</v>
      </c>
      <c r="AJ28" s="15">
        <v>98317</v>
      </c>
      <c r="AK28" s="15">
        <v>101000</v>
      </c>
      <c r="AL28" s="17">
        <f t="shared" si="45"/>
        <v>2.7289278558133383E-2</v>
      </c>
      <c r="AM28" s="20">
        <f t="shared" si="46"/>
        <v>115657</v>
      </c>
      <c r="AN28" s="20">
        <f t="shared" si="46"/>
        <v>113800</v>
      </c>
      <c r="AO28" s="17">
        <f t="shared" si="47"/>
        <v>-1.6056096907234321E-2</v>
      </c>
      <c r="AP28" s="21">
        <v>92</v>
      </c>
      <c r="AQ28" s="21">
        <v>134</v>
      </c>
    </row>
    <row r="29" spans="1:43" x14ac:dyDescent="0.25">
      <c r="A29" s="22" t="s">
        <v>57</v>
      </c>
      <c r="B29" s="22" t="s">
        <v>73</v>
      </c>
      <c r="C29" s="23">
        <f t="shared" ref="C29:I29" si="49">SUM(C20:C28)</f>
        <v>846967</v>
      </c>
      <c r="D29" s="23">
        <f t="shared" si="49"/>
        <v>883295</v>
      </c>
      <c r="E29" s="23">
        <f t="shared" si="49"/>
        <v>886114</v>
      </c>
      <c r="F29" s="23">
        <f t="shared" si="49"/>
        <v>1033891</v>
      </c>
      <c r="G29" s="23">
        <f t="shared" si="49"/>
        <v>164560.90139312387</v>
      </c>
      <c r="H29" s="23">
        <f t="shared" si="49"/>
        <v>206365.31149241625</v>
      </c>
      <c r="I29" s="23">
        <f t="shared" si="49"/>
        <v>714698</v>
      </c>
      <c r="J29" s="23"/>
      <c r="K29" s="23"/>
      <c r="L29" s="23"/>
      <c r="M29" s="38"/>
      <c r="N29" s="23">
        <f>SUM(N20:N28)</f>
        <v>172225.63310000001</v>
      </c>
      <c r="O29" s="23">
        <f>SUM(O20:O28)</f>
        <v>160029.29084926954</v>
      </c>
      <c r="P29" s="23">
        <f>SUM(P20:P28)</f>
        <v>0</v>
      </c>
      <c r="Q29" s="23">
        <f>SUM(Q20:Q28)</f>
        <v>160029.29084926954</v>
      </c>
      <c r="R29" s="23">
        <f>SUM(R20:R28)</f>
        <v>983736.8888546736</v>
      </c>
      <c r="S29" s="24">
        <f>IF(E29&gt;0,(F29-E29)/E29,"")</f>
        <v>0.16676973843094681</v>
      </c>
      <c r="T29" s="24"/>
      <c r="U29" s="25">
        <f>SUM(U20:U28)</f>
        <v>80269</v>
      </c>
      <c r="V29" s="25">
        <f>SUM(V20:V28)</f>
        <v>81658</v>
      </c>
      <c r="W29" s="25"/>
      <c r="X29" s="25">
        <f>SUM(X20:X28)</f>
        <v>473490</v>
      </c>
      <c r="Y29" s="25">
        <f>SUM(Y20:Y28)</f>
        <v>457330</v>
      </c>
      <c r="Z29" s="24">
        <f>IF(U29&gt;0,(V29-U29)/U29,"")</f>
        <v>1.7304314243356714E-2</v>
      </c>
      <c r="AA29" s="23" t="e">
        <f>SUM(AA20:AA28)</f>
        <v>#REF!</v>
      </c>
      <c r="AB29" s="23">
        <f>SUM(AB20:AB28)</f>
        <v>2179411.5225979383</v>
      </c>
      <c r="AC29" s="17">
        <v>4.8000000000000001E-2</v>
      </c>
      <c r="AD29" s="23">
        <f>SUM(AD20:AD28)</f>
        <v>2094989</v>
      </c>
      <c r="AE29" s="23">
        <f>SUM(AE20:AE28)</f>
        <v>2274774</v>
      </c>
      <c r="AF29" s="24">
        <f t="shared" si="43"/>
        <v>8.5816679705716825E-2</v>
      </c>
      <c r="AG29" s="23">
        <f>SUM(AG20:AG28)</f>
        <v>2047880</v>
      </c>
      <c r="AH29" s="23">
        <f>SUM(AH20:AH28)</f>
        <v>2164696</v>
      </c>
      <c r="AI29" s="24">
        <f t="shared" si="44"/>
        <v>5.7042404828407917E-2</v>
      </c>
      <c r="AJ29" s="23">
        <f>SUM(AJ20:AJ28)</f>
        <v>1658013</v>
      </c>
      <c r="AK29" s="23">
        <f>SUM(AK20:AK28)</f>
        <v>1784506</v>
      </c>
      <c r="AL29" s="24">
        <f t="shared" si="45"/>
        <v>7.6291922922196623E-2</v>
      </c>
      <c r="AM29" s="20">
        <f t="shared" si="46"/>
        <v>1161766</v>
      </c>
      <c r="AN29" s="20">
        <f t="shared" si="46"/>
        <v>1130805</v>
      </c>
      <c r="AO29" s="24">
        <f t="shared" si="47"/>
        <v>-2.6649944997529623E-2</v>
      </c>
      <c r="AP29" s="26"/>
      <c r="AQ29" s="21"/>
    </row>
    <row r="30" spans="1:43" x14ac:dyDescent="0.25">
      <c r="A30" s="9" t="s">
        <v>75</v>
      </c>
      <c r="B30" s="10"/>
      <c r="C30" s="11"/>
      <c r="D30" s="11"/>
      <c r="E30" s="11"/>
      <c r="F30" s="11"/>
      <c r="G30" s="11"/>
      <c r="H30" s="11"/>
      <c r="I30" s="10"/>
      <c r="J30" s="10"/>
      <c r="K30" s="10"/>
      <c r="L30" s="10"/>
      <c r="M30" s="35"/>
      <c r="N30" s="11"/>
      <c r="O30" s="39" t="str">
        <f>IF(ROUNDDOWN((O20-(E20*U20/X20))/(E20*U20/X20)*100,0)&gt;0,"+"&amp;ROUNDDOWN((O20-(E20*U20/X20))/(E20*U20/X20)*100,0)&amp;"% /2025",ROUNDDOWN((O20-(E20*U20/X20))/(E20*U20/X20)*100,0)&amp;"% /2025")</f>
        <v>-21% /2025</v>
      </c>
      <c r="P30" s="11"/>
      <c r="Q30" s="11"/>
      <c r="R30" s="11"/>
      <c r="S30" s="12"/>
      <c r="T30" s="12"/>
      <c r="U30" s="13"/>
      <c r="V30" s="13"/>
      <c r="W30" s="13"/>
      <c r="X30" s="13"/>
      <c r="Y30" s="13"/>
      <c r="Z30" s="12"/>
      <c r="AA30" s="11"/>
      <c r="AB30" s="11"/>
      <c r="AC30" s="12"/>
      <c r="AD30" s="11"/>
      <c r="AE30" s="11"/>
      <c r="AF30" s="12"/>
      <c r="AG30" s="11"/>
      <c r="AH30" s="11"/>
      <c r="AI30" s="12"/>
      <c r="AJ30" s="11"/>
      <c r="AK30" s="11"/>
      <c r="AL30" s="12"/>
      <c r="AM30" s="12"/>
      <c r="AN30" s="12"/>
      <c r="AO30" s="12"/>
      <c r="AP30" s="14"/>
      <c r="AQ30" s="21"/>
    </row>
    <row r="31" spans="1:43" x14ac:dyDescent="0.25">
      <c r="A31" s="8" t="s">
        <v>59</v>
      </c>
      <c r="B31" s="36" t="s">
        <v>60</v>
      </c>
      <c r="C31" s="15">
        <v>157127</v>
      </c>
      <c r="D31" s="15">
        <v>144000</v>
      </c>
      <c r="E31" s="15">
        <v>163251</v>
      </c>
      <c r="F31" s="15">
        <v>187000</v>
      </c>
      <c r="G31" s="15">
        <f t="shared" ref="G31:H40" si="50">E31*U31/X31</f>
        <v>106142.54362326897</v>
      </c>
      <c r="H31" s="15">
        <f t="shared" si="50"/>
        <v>119750.4761424265</v>
      </c>
      <c r="I31" s="8">
        <v>164000</v>
      </c>
      <c r="J31" s="8">
        <v>2.4</v>
      </c>
      <c r="K31" s="8">
        <v>1.42</v>
      </c>
      <c r="L31" s="16">
        <f>MAX(K31, J31 - (V31 * (J31 - K31) / 60000))</f>
        <v>1.5707403333333332</v>
      </c>
      <c r="M31" s="37">
        <v>9533</v>
      </c>
      <c r="N31" s="15">
        <f t="shared" ref="N31:N40" si="51">IF(V31&gt;0,M31+L31*V31,0)</f>
        <v>89281.057463666657</v>
      </c>
      <c r="O31" s="15">
        <f t="shared" ref="O31:O40" si="52">IF(N31&gt;H31,H31,N31)</f>
        <v>89281.057463666657</v>
      </c>
      <c r="Q31" s="15">
        <f t="shared" ref="Q31:Q40" si="53">O31+P31</f>
        <v>89281.057463666657</v>
      </c>
      <c r="R31" s="15">
        <f t="shared" ref="R31:R40" si="54">SUMIF(B:B,B31,Q:Q)</f>
        <v>141497.52127616666</v>
      </c>
      <c r="S31" s="17">
        <v>0.14549999999999999</v>
      </c>
      <c r="U31" s="18">
        <v>53805</v>
      </c>
      <c r="V31" s="18">
        <v>50771</v>
      </c>
      <c r="X31" s="18">
        <f t="shared" ref="X31:Y40" si="55">SUMIF($B$11:$B$40,$B31,U$11:U$40)</f>
        <v>82754</v>
      </c>
      <c r="Y31" s="18">
        <f t="shared" si="55"/>
        <v>79283</v>
      </c>
      <c r="Z31" s="17">
        <f t="shared" ref="Z31:Z40" si="56">IF(AND(ISNUMBER(U31), U31&gt;0), (V31-U31)/U31, "")</f>
        <v>-5.6388811448750117E-2</v>
      </c>
      <c r="AA31" s="15">
        <f>AA20</f>
        <v>49299</v>
      </c>
      <c r="AB31" s="15">
        <f t="shared" ref="AB31:AB40" si="57">SUMIF(A:A,A31,Q:Q)</f>
        <v>165097.52127616666</v>
      </c>
      <c r="AC31" s="17">
        <v>0.12939999999999999</v>
      </c>
      <c r="AD31" s="15">
        <v>360491</v>
      </c>
      <c r="AE31" s="15">
        <v>429324</v>
      </c>
      <c r="AF31" s="17">
        <f t="shared" ref="AF31:AF41" si="58">(AE31-AD31)/AD31</f>
        <v>0.19094235362325274</v>
      </c>
      <c r="AG31" s="15">
        <v>413036</v>
      </c>
      <c r="AH31" s="15">
        <v>429324</v>
      </c>
      <c r="AI31" s="17">
        <f t="shared" ref="AI31:AI41" si="59">(AH31-AG31)/AG31</f>
        <v>3.9434819240937835E-2</v>
      </c>
      <c r="AJ31" s="15">
        <v>319297</v>
      </c>
      <c r="AK31" s="15">
        <v>367000</v>
      </c>
      <c r="AL31" s="17">
        <f t="shared" ref="AL31:AL41" si="60">(AK31-AJ31)/AJ31</f>
        <v>0.14940008831902585</v>
      </c>
      <c r="AM31" s="20">
        <f t="shared" ref="AM31:AN41" si="61">AG31-E31</f>
        <v>249785</v>
      </c>
      <c r="AN31" s="20">
        <f t="shared" si="61"/>
        <v>242324</v>
      </c>
      <c r="AO31" s="17">
        <f t="shared" ref="AO31:AO41" si="62">(AN31-AM31)/AM31</f>
        <v>-2.9869687931621196E-2</v>
      </c>
      <c r="AP31" s="21">
        <v>166</v>
      </c>
      <c r="AQ31" s="21">
        <v>166</v>
      </c>
    </row>
    <row r="32" spans="1:43" x14ac:dyDescent="0.25">
      <c r="A32" s="8" t="s">
        <v>42</v>
      </c>
      <c r="B32" s="36" t="s">
        <v>61</v>
      </c>
      <c r="C32" s="15">
        <v>59914</v>
      </c>
      <c r="D32" s="15">
        <v>95971</v>
      </c>
      <c r="E32" s="15">
        <v>78595</v>
      </c>
      <c r="F32" s="15">
        <v>80000</v>
      </c>
      <c r="G32" s="15">
        <f t="shared" si="50"/>
        <v>57464.771840591857</v>
      </c>
      <c r="H32" s="15">
        <f t="shared" si="50"/>
        <v>55928.835631094669</v>
      </c>
      <c r="I32" s="8">
        <v>80000</v>
      </c>
      <c r="J32" s="8">
        <v>2.4</v>
      </c>
      <c r="K32" s="8">
        <v>1.42</v>
      </c>
      <c r="L32" s="16">
        <f t="shared" ref="L32:L40" si="63">MAX(K32, J32 - (V32 * (J32 - K32) / 60000))</f>
        <v>2.0264566666666668</v>
      </c>
      <c r="M32" s="37">
        <v>9533</v>
      </c>
      <c r="N32" s="15">
        <f t="shared" si="51"/>
        <v>55878.063966666668</v>
      </c>
      <c r="O32" s="15">
        <f t="shared" si="52"/>
        <v>55878.063966666668</v>
      </c>
      <c r="Q32" s="15">
        <f t="shared" si="53"/>
        <v>55878.063966666668</v>
      </c>
      <c r="R32" s="15">
        <f t="shared" si="54"/>
        <v>81347.415198909206</v>
      </c>
      <c r="S32" s="17">
        <v>1.7899999999999999E-2</v>
      </c>
      <c r="U32" s="18">
        <v>25300</v>
      </c>
      <c r="V32" s="18">
        <v>22870</v>
      </c>
      <c r="X32" s="18">
        <f t="shared" si="55"/>
        <v>34603</v>
      </c>
      <c r="Y32" s="18">
        <f t="shared" si="55"/>
        <v>32713</v>
      </c>
      <c r="Z32" s="17">
        <f t="shared" si="56"/>
        <v>-9.6047430830039526E-2</v>
      </c>
      <c r="AA32" s="15">
        <f>AA21</f>
        <v>8500</v>
      </c>
      <c r="AB32" s="15">
        <f t="shared" si="57"/>
        <v>174647.41519890921</v>
      </c>
      <c r="AC32" s="17">
        <v>6.0199999999999997E-2</v>
      </c>
      <c r="AD32" s="15">
        <v>193719</v>
      </c>
      <c r="AE32" s="15">
        <v>184266</v>
      </c>
      <c r="AF32" s="17">
        <f t="shared" si="58"/>
        <v>-4.8797485016957555E-2</v>
      </c>
      <c r="AG32" s="15">
        <v>186709</v>
      </c>
      <c r="AH32" s="15">
        <v>189195</v>
      </c>
      <c r="AI32" s="17">
        <f t="shared" si="59"/>
        <v>1.3314837527917775E-2</v>
      </c>
      <c r="AJ32" s="15">
        <v>151287</v>
      </c>
      <c r="AK32" s="15">
        <v>140985</v>
      </c>
      <c r="AL32" s="17">
        <f t="shared" si="60"/>
        <v>-6.8095738563128352E-2</v>
      </c>
      <c r="AM32" s="20">
        <f t="shared" si="61"/>
        <v>108114</v>
      </c>
      <c r="AN32" s="20">
        <f t="shared" si="61"/>
        <v>109195</v>
      </c>
      <c r="AO32" s="17">
        <f t="shared" si="62"/>
        <v>9.9987050705736529E-3</v>
      </c>
      <c r="AP32" s="21">
        <v>80</v>
      </c>
      <c r="AQ32" s="21">
        <v>83</v>
      </c>
    </row>
    <row r="33" spans="1:43" x14ac:dyDescent="0.25">
      <c r="A33" s="8" t="s">
        <v>54</v>
      </c>
      <c r="B33" s="36" t="s">
        <v>55</v>
      </c>
      <c r="C33" s="15">
        <v>56679</v>
      </c>
      <c r="D33" s="15">
        <v>136027</v>
      </c>
      <c r="E33" s="15">
        <v>95102</v>
      </c>
      <c r="F33" s="15">
        <v>114726</v>
      </c>
      <c r="G33" s="15">
        <f t="shared" si="50"/>
        <v>49089.797174111212</v>
      </c>
      <c r="H33" s="15">
        <f t="shared" si="50"/>
        <v>57584.464271692188</v>
      </c>
      <c r="I33" s="8" t="s">
        <v>62</v>
      </c>
      <c r="J33" s="8">
        <v>2.4</v>
      </c>
      <c r="K33" s="8">
        <v>1.42</v>
      </c>
      <c r="L33" s="16">
        <f t="shared" si="63"/>
        <v>2.1494303333333331</v>
      </c>
      <c r="M33" s="37">
        <v>9533</v>
      </c>
      <c r="N33" s="15">
        <f t="shared" si="51"/>
        <v>42507.41074366666</v>
      </c>
      <c r="O33" s="15">
        <f t="shared" si="52"/>
        <v>42507.41074366666</v>
      </c>
      <c r="Q33" s="15">
        <f t="shared" si="53"/>
        <v>42507.41074366666</v>
      </c>
      <c r="R33" s="15">
        <f t="shared" si="54"/>
        <v>152642.91105566666</v>
      </c>
      <c r="S33" s="17">
        <v>0.20630000000000001</v>
      </c>
      <c r="U33" s="18">
        <v>18120</v>
      </c>
      <c r="V33" s="18">
        <v>15341</v>
      </c>
      <c r="X33" s="18">
        <f t="shared" si="55"/>
        <v>35104</v>
      </c>
      <c r="Y33" s="18">
        <f t="shared" si="55"/>
        <v>30564</v>
      </c>
      <c r="Z33" s="17">
        <f t="shared" si="56"/>
        <v>-0.15336644591611479</v>
      </c>
      <c r="AA33" s="15">
        <f>AA22</f>
        <v>-18107</v>
      </c>
      <c r="AB33" s="15">
        <f t="shared" si="57"/>
        <v>152642.91105566666</v>
      </c>
      <c r="AC33" s="17">
        <v>0.2833</v>
      </c>
      <c r="AD33" s="15">
        <v>219795</v>
      </c>
      <c r="AE33" s="15">
        <v>210679</v>
      </c>
      <c r="AF33" s="17">
        <f t="shared" si="58"/>
        <v>-4.1475010805523328E-2</v>
      </c>
      <c r="AG33" s="15">
        <v>201688</v>
      </c>
      <c r="AH33" s="15">
        <v>210679</v>
      </c>
      <c r="AI33" s="17">
        <f t="shared" si="59"/>
        <v>4.4578755305223913E-2</v>
      </c>
      <c r="AJ33" s="15">
        <v>171379</v>
      </c>
      <c r="AK33" s="15">
        <v>167441</v>
      </c>
      <c r="AL33" s="17">
        <f t="shared" si="60"/>
        <v>-2.2978311228330193E-2</v>
      </c>
      <c r="AM33" s="20">
        <f t="shared" si="61"/>
        <v>106586</v>
      </c>
      <c r="AN33" s="20">
        <f t="shared" si="61"/>
        <v>95953</v>
      </c>
      <c r="AO33" s="17">
        <f t="shared" si="62"/>
        <v>-9.975981836263674E-2</v>
      </c>
      <c r="AP33" s="21">
        <v>62</v>
      </c>
      <c r="AQ33" s="21">
        <v>74</v>
      </c>
    </row>
    <row r="34" spans="1:43" x14ac:dyDescent="0.25">
      <c r="A34" s="8" t="s">
        <v>63</v>
      </c>
      <c r="B34" s="36" t="s">
        <v>64</v>
      </c>
      <c r="C34" s="15">
        <v>130627</v>
      </c>
      <c r="D34" s="15">
        <v>90100</v>
      </c>
      <c r="E34" s="15">
        <v>102566</v>
      </c>
      <c r="F34" s="15">
        <v>135353</v>
      </c>
      <c r="G34" s="15">
        <f t="shared" si="50"/>
        <v>48549.849993233183</v>
      </c>
      <c r="H34" s="15">
        <f t="shared" si="50"/>
        <v>60334.905559636136</v>
      </c>
      <c r="I34" s="8" t="s">
        <v>65</v>
      </c>
      <c r="J34" s="8">
        <v>2.4</v>
      </c>
      <c r="K34" s="8">
        <v>1.42</v>
      </c>
      <c r="L34" s="16">
        <f t="shared" si="63"/>
        <v>2.1422763333333332</v>
      </c>
      <c r="M34" s="37">
        <v>9533</v>
      </c>
      <c r="N34" s="15">
        <f t="shared" si="51"/>
        <v>43335.978263666664</v>
      </c>
      <c r="O34" s="15">
        <f t="shared" si="52"/>
        <v>43335.978263666664</v>
      </c>
      <c r="Q34" s="15">
        <f t="shared" si="53"/>
        <v>43335.978263666664</v>
      </c>
      <c r="R34" s="15">
        <f t="shared" si="54"/>
        <v>100798.92258033331</v>
      </c>
      <c r="S34" s="17">
        <v>0.31969999999999998</v>
      </c>
      <c r="U34" s="18">
        <v>17488</v>
      </c>
      <c r="V34" s="18">
        <v>15779</v>
      </c>
      <c r="X34" s="18">
        <f t="shared" si="55"/>
        <v>36945</v>
      </c>
      <c r="Y34" s="18">
        <f t="shared" si="55"/>
        <v>35398</v>
      </c>
      <c r="Z34" s="17">
        <f t="shared" si="56"/>
        <v>-9.7724153705397984E-2</v>
      </c>
      <c r="AA34" s="15">
        <f>AA23</f>
        <v>-8000</v>
      </c>
      <c r="AB34" s="15">
        <f t="shared" si="57"/>
        <v>100798.92258033331</v>
      </c>
      <c r="AC34" s="17">
        <v>0.315</v>
      </c>
      <c r="AD34" s="15">
        <v>205403</v>
      </c>
      <c r="AE34" s="15">
        <v>232844</v>
      </c>
      <c r="AF34" s="17">
        <f t="shared" si="58"/>
        <v>0.1335959065836429</v>
      </c>
      <c r="AG34" s="15">
        <v>197275</v>
      </c>
      <c r="AH34" s="15">
        <v>232594</v>
      </c>
      <c r="AI34" s="17">
        <f t="shared" si="59"/>
        <v>0.17903434292231657</v>
      </c>
      <c r="AJ34" s="15">
        <v>153394</v>
      </c>
      <c r="AK34" s="15">
        <v>178453</v>
      </c>
      <c r="AL34" s="17">
        <f t="shared" si="60"/>
        <v>0.16336362569592031</v>
      </c>
      <c r="AM34" s="20">
        <f t="shared" si="61"/>
        <v>94709</v>
      </c>
      <c r="AN34" s="20">
        <f t="shared" si="61"/>
        <v>97241</v>
      </c>
      <c r="AO34" s="17">
        <f t="shared" si="62"/>
        <v>2.6734523646115997E-2</v>
      </c>
      <c r="AP34" s="21">
        <v>94</v>
      </c>
      <c r="AQ34" s="21">
        <v>94</v>
      </c>
    </row>
    <row r="35" spans="1:43" x14ac:dyDescent="0.25">
      <c r="A35" s="8" t="s">
        <v>45</v>
      </c>
      <c r="B35" s="36" t="s">
        <v>66</v>
      </c>
      <c r="C35" s="15">
        <v>52000</v>
      </c>
      <c r="D35" s="15">
        <v>110000</v>
      </c>
      <c r="E35" s="15">
        <v>152000</v>
      </c>
      <c r="F35" s="15">
        <v>178000</v>
      </c>
      <c r="G35" s="15">
        <f t="shared" si="50"/>
        <v>47452.958653131966</v>
      </c>
      <c r="H35" s="15">
        <f t="shared" si="50"/>
        <v>51912.53275654091</v>
      </c>
      <c r="I35" s="8">
        <v>150000</v>
      </c>
      <c r="J35" s="8">
        <v>2.4</v>
      </c>
      <c r="K35" s="8">
        <v>1.42</v>
      </c>
      <c r="L35" s="16">
        <f t="shared" si="63"/>
        <v>1.8274023333333331</v>
      </c>
      <c r="M35" s="37">
        <v>9533</v>
      </c>
      <c r="N35" s="15">
        <f t="shared" si="51"/>
        <v>73596.243599666661</v>
      </c>
      <c r="O35" s="15">
        <f t="shared" si="52"/>
        <v>51912.53275654091</v>
      </c>
      <c r="Q35" s="15">
        <f t="shared" si="53"/>
        <v>51912.53275654091</v>
      </c>
      <c r="R35" s="15">
        <f t="shared" si="54"/>
        <v>178000</v>
      </c>
      <c r="S35" s="17">
        <v>0.1711</v>
      </c>
      <c r="U35" s="18">
        <v>40350</v>
      </c>
      <c r="V35" s="18">
        <v>35057</v>
      </c>
      <c r="X35" s="18">
        <f t="shared" si="55"/>
        <v>129248</v>
      </c>
      <c r="Y35" s="18">
        <f t="shared" si="55"/>
        <v>120205</v>
      </c>
      <c r="Z35" s="17">
        <f t="shared" si="56"/>
        <v>-0.13117719950433704</v>
      </c>
      <c r="AA35" s="15">
        <f>AA24</f>
        <v>-5685</v>
      </c>
      <c r="AB35" s="15">
        <f t="shared" si="57"/>
        <v>676484.10167466663</v>
      </c>
      <c r="AC35" s="17">
        <v>0.1951</v>
      </c>
      <c r="AD35" s="15">
        <v>437530</v>
      </c>
      <c r="AE35" s="15">
        <v>482674</v>
      </c>
      <c r="AF35" s="17">
        <f t="shared" si="58"/>
        <v>0.10317921056841817</v>
      </c>
      <c r="AG35" s="15">
        <v>431845</v>
      </c>
      <c r="AH35" s="15">
        <v>483335</v>
      </c>
      <c r="AI35" s="17">
        <f t="shared" si="59"/>
        <v>0.11923259502830877</v>
      </c>
      <c r="AJ35" s="15">
        <v>343438</v>
      </c>
      <c r="AK35" s="15">
        <v>383460</v>
      </c>
      <c r="AL35" s="17">
        <f t="shared" si="60"/>
        <v>0.11653340632079152</v>
      </c>
      <c r="AM35" s="20">
        <f t="shared" si="61"/>
        <v>279845</v>
      </c>
      <c r="AN35" s="20">
        <f t="shared" si="61"/>
        <v>305335</v>
      </c>
      <c r="AO35" s="17">
        <f t="shared" si="62"/>
        <v>9.1086136968679093E-2</v>
      </c>
      <c r="AP35" s="21">
        <v>148</v>
      </c>
      <c r="AQ35" s="21">
        <v>182</v>
      </c>
    </row>
    <row r="36" spans="1:43" x14ac:dyDescent="0.25">
      <c r="A36" s="8" t="s">
        <v>45</v>
      </c>
      <c r="B36" s="36" t="s">
        <v>67</v>
      </c>
      <c r="C36" s="15">
        <v>43100</v>
      </c>
      <c r="D36" s="15">
        <v>47600</v>
      </c>
      <c r="E36" s="15">
        <v>48940</v>
      </c>
      <c r="F36" s="15">
        <v>59200</v>
      </c>
      <c r="G36" s="15">
        <f t="shared" si="50"/>
        <v>48940</v>
      </c>
      <c r="H36" s="15">
        <f t="shared" si="50"/>
        <v>59200</v>
      </c>
      <c r="I36" s="8">
        <v>48940</v>
      </c>
      <c r="J36" s="8">
        <v>2.4</v>
      </c>
      <c r="K36" s="8">
        <v>1.42</v>
      </c>
      <c r="L36" s="16">
        <f t="shared" si="63"/>
        <v>2.1889406666666664</v>
      </c>
      <c r="M36" s="37">
        <v>9533</v>
      </c>
      <c r="N36" s="15">
        <f t="shared" si="51"/>
        <v>37818.491294666659</v>
      </c>
      <c r="O36" s="15">
        <f t="shared" si="52"/>
        <v>37818.491294666659</v>
      </c>
      <c r="Q36" s="15">
        <f t="shared" si="53"/>
        <v>37818.491294666659</v>
      </c>
      <c r="R36" s="15">
        <f t="shared" si="54"/>
        <v>37818.491294666659</v>
      </c>
      <c r="S36" s="17">
        <v>0.20960000000000001</v>
      </c>
      <c r="U36" s="18">
        <v>14000</v>
      </c>
      <c r="V36" s="18">
        <v>12922</v>
      </c>
      <c r="X36" s="18">
        <f t="shared" si="55"/>
        <v>14000</v>
      </c>
      <c r="Y36" s="18">
        <f t="shared" si="55"/>
        <v>12922</v>
      </c>
      <c r="Z36" s="17">
        <f t="shared" si="56"/>
        <v>-7.6999999999999999E-2</v>
      </c>
      <c r="AA36" s="15" t="e">
        <f>#REF!</f>
        <v>#REF!</v>
      </c>
      <c r="AB36" s="15">
        <f t="shared" si="57"/>
        <v>676484.10167466663</v>
      </c>
      <c r="AC36" s="17">
        <v>0.1951</v>
      </c>
      <c r="AD36" s="15">
        <v>85510</v>
      </c>
      <c r="AE36" s="15">
        <v>93250</v>
      </c>
      <c r="AF36" s="17">
        <f t="shared" si="58"/>
        <v>9.0515729154484859E-2</v>
      </c>
      <c r="AG36" s="15">
        <v>83098</v>
      </c>
      <c r="AH36" s="15">
        <v>93250</v>
      </c>
      <c r="AI36" s="17">
        <f t="shared" si="59"/>
        <v>0.12216900527088498</v>
      </c>
      <c r="AJ36" s="15">
        <v>56662</v>
      </c>
      <c r="AK36" s="15">
        <v>59720</v>
      </c>
      <c r="AL36" s="17">
        <f t="shared" si="60"/>
        <v>5.3969150400621231E-2</v>
      </c>
      <c r="AM36" s="20">
        <f t="shared" si="61"/>
        <v>34158</v>
      </c>
      <c r="AN36" s="20">
        <f t="shared" si="61"/>
        <v>34050</v>
      </c>
      <c r="AO36" s="17">
        <f t="shared" si="62"/>
        <v>-3.1617776216406111E-3</v>
      </c>
    </row>
    <row r="37" spans="1:43" x14ac:dyDescent="0.25">
      <c r="A37" s="8" t="s">
        <v>68</v>
      </c>
      <c r="B37" s="36" t="s">
        <v>69</v>
      </c>
      <c r="C37" s="15">
        <v>77988</v>
      </c>
      <c r="D37" s="15">
        <v>20500</v>
      </c>
      <c r="E37" s="15">
        <v>39226</v>
      </c>
      <c r="F37" s="15">
        <v>53000</v>
      </c>
      <c r="G37" s="15">
        <f t="shared" si="50"/>
        <v>29264.193438914026</v>
      </c>
      <c r="H37" s="15">
        <f t="shared" si="50"/>
        <v>37164.696764192988</v>
      </c>
      <c r="I37" s="8">
        <v>50000</v>
      </c>
      <c r="J37" s="8">
        <v>2.4</v>
      </c>
      <c r="K37" s="8">
        <v>1.42</v>
      </c>
      <c r="L37" s="16">
        <f t="shared" si="63"/>
        <v>2.2226689999999998</v>
      </c>
      <c r="M37" s="37">
        <v>9533</v>
      </c>
      <c r="N37" s="15">
        <f t="shared" si="51"/>
        <v>33664.517332999996</v>
      </c>
      <c r="O37" s="15">
        <f t="shared" si="52"/>
        <v>33664.517332999996</v>
      </c>
      <c r="Q37" s="15">
        <f t="shared" si="53"/>
        <v>33664.517332999996</v>
      </c>
      <c r="R37" s="15">
        <f t="shared" si="54"/>
        <v>47589.123532999998</v>
      </c>
      <c r="S37" s="17">
        <v>0.35110000000000002</v>
      </c>
      <c r="U37" s="18">
        <v>9233</v>
      </c>
      <c r="V37" s="18">
        <v>10857</v>
      </c>
      <c r="X37" s="18">
        <f t="shared" si="55"/>
        <v>12376</v>
      </c>
      <c r="Y37" s="18">
        <f t="shared" si="55"/>
        <v>15483</v>
      </c>
      <c r="Z37" s="17">
        <f t="shared" si="56"/>
        <v>0.17589082638362397</v>
      </c>
      <c r="AA37" s="15" t="e">
        <f>AA25</f>
        <v>#REF!</v>
      </c>
      <c r="AB37" s="15">
        <f t="shared" si="57"/>
        <v>47589.123532999998</v>
      </c>
      <c r="AC37" s="17">
        <v>0.35110000000000002</v>
      </c>
      <c r="AD37" s="15">
        <v>59771</v>
      </c>
      <c r="AE37" s="15">
        <v>79818</v>
      </c>
      <c r="AF37" s="17">
        <f t="shared" si="58"/>
        <v>0.33539676431714377</v>
      </c>
      <c r="AG37" s="15">
        <v>901</v>
      </c>
      <c r="AH37" s="15">
        <v>700</v>
      </c>
      <c r="AI37" s="17">
        <f t="shared" si="59"/>
        <v>-0.22308546059933407</v>
      </c>
      <c r="AJ37" s="15">
        <v>57906</v>
      </c>
      <c r="AK37" s="15">
        <v>78000</v>
      </c>
      <c r="AL37" s="17">
        <f t="shared" si="60"/>
        <v>0.34701067246917416</v>
      </c>
      <c r="AM37" s="20">
        <f t="shared" si="61"/>
        <v>-38325</v>
      </c>
      <c r="AN37" s="20">
        <f t="shared" si="61"/>
        <v>-52300</v>
      </c>
      <c r="AO37" s="17">
        <f t="shared" si="62"/>
        <v>0.36464448793215914</v>
      </c>
      <c r="AP37" s="21">
        <v>132</v>
      </c>
      <c r="AQ37" s="21">
        <v>132</v>
      </c>
    </row>
    <row r="38" spans="1:43" x14ac:dyDescent="0.25">
      <c r="A38" s="8" t="s">
        <v>49</v>
      </c>
      <c r="B38" s="36" t="s">
        <v>70</v>
      </c>
      <c r="C38" s="15">
        <v>87632</v>
      </c>
      <c r="D38" s="15">
        <v>78000</v>
      </c>
      <c r="E38" s="15">
        <v>55676</v>
      </c>
      <c r="F38" s="15">
        <v>68612</v>
      </c>
      <c r="G38" s="15">
        <f t="shared" si="50"/>
        <v>39047.625386375497</v>
      </c>
      <c r="H38" s="15">
        <f t="shared" si="50"/>
        <v>46037.296007746823</v>
      </c>
      <c r="I38" s="8">
        <v>56000</v>
      </c>
      <c r="J38" s="8">
        <v>2.4</v>
      </c>
      <c r="K38" s="8">
        <v>1.42</v>
      </c>
      <c r="L38" s="16">
        <f t="shared" si="63"/>
        <v>2.1510146666666667</v>
      </c>
      <c r="M38" s="37">
        <v>9533</v>
      </c>
      <c r="N38" s="15">
        <f t="shared" si="51"/>
        <v>42323.067578666669</v>
      </c>
      <c r="O38" s="15">
        <f t="shared" si="52"/>
        <v>42323.067578666669</v>
      </c>
      <c r="Q38" s="15">
        <f t="shared" si="53"/>
        <v>42323.067578666669</v>
      </c>
      <c r="R38" s="15">
        <f t="shared" si="54"/>
        <v>70808.786328666669</v>
      </c>
      <c r="S38" s="17">
        <v>0.23230000000000001</v>
      </c>
      <c r="U38" s="18">
        <v>17471</v>
      </c>
      <c r="V38" s="18">
        <v>15244</v>
      </c>
      <c r="X38" s="18">
        <f t="shared" si="55"/>
        <v>24911</v>
      </c>
      <c r="Y38" s="18">
        <f t="shared" si="55"/>
        <v>22719</v>
      </c>
      <c r="Z38" s="17">
        <f t="shared" si="56"/>
        <v>-0.12746837616621831</v>
      </c>
      <c r="AA38" s="15" t="e">
        <f>AA26</f>
        <v>#REF!</v>
      </c>
      <c r="AB38" s="15">
        <f t="shared" si="57"/>
        <v>163635.56864866667</v>
      </c>
      <c r="AC38" s="17">
        <v>0.4516</v>
      </c>
      <c r="AD38" s="15">
        <v>132774</v>
      </c>
      <c r="AE38" s="15">
        <v>149010</v>
      </c>
      <c r="AF38" s="17">
        <f t="shared" si="58"/>
        <v>0.12228297708888788</v>
      </c>
      <c r="AG38" s="15">
        <v>139429</v>
      </c>
      <c r="AH38" s="15">
        <v>149010</v>
      </c>
      <c r="AI38" s="17">
        <f t="shared" si="59"/>
        <v>6.8715977307446802E-2</v>
      </c>
      <c r="AJ38" s="15">
        <v>107806</v>
      </c>
      <c r="AK38" s="15">
        <v>116950</v>
      </c>
      <c r="AL38" s="17">
        <f t="shared" si="60"/>
        <v>8.4819026770309627E-2</v>
      </c>
      <c r="AM38" s="20">
        <f t="shared" si="61"/>
        <v>83753</v>
      </c>
      <c r="AN38" s="20">
        <f t="shared" si="61"/>
        <v>80398</v>
      </c>
      <c r="AO38" s="17">
        <f t="shared" si="62"/>
        <v>-4.0058266569555717E-2</v>
      </c>
      <c r="AP38" s="21">
        <v>108</v>
      </c>
      <c r="AQ38" s="21">
        <v>108</v>
      </c>
    </row>
    <row r="39" spans="1:43" x14ac:dyDescent="0.25">
      <c r="A39" s="8" t="s">
        <v>52</v>
      </c>
      <c r="B39" s="36" t="s">
        <v>71</v>
      </c>
      <c r="C39" s="15">
        <v>220000</v>
      </c>
      <c r="D39" s="15">
        <v>158000</v>
      </c>
      <c r="E39" s="15">
        <v>140000</v>
      </c>
      <c r="F39" s="15">
        <v>155000</v>
      </c>
      <c r="G39" s="15">
        <f t="shared" si="50"/>
        <v>86116.198490285853</v>
      </c>
      <c r="H39" s="15">
        <f t="shared" si="50"/>
        <v>90204.374032475869</v>
      </c>
      <c r="I39" s="8">
        <v>155000</v>
      </c>
      <c r="J39" s="8">
        <v>2.4</v>
      </c>
      <c r="K39" s="8">
        <v>1.42</v>
      </c>
      <c r="L39" s="16">
        <f t="shared" si="63"/>
        <v>1.8228126666666666</v>
      </c>
      <c r="M39" s="37">
        <v>9533</v>
      </c>
      <c r="N39" s="15">
        <f t="shared" si="51"/>
        <v>73947.554014666675</v>
      </c>
      <c r="O39" s="15">
        <f t="shared" si="52"/>
        <v>73947.554014666675</v>
      </c>
      <c r="Q39" s="15">
        <f t="shared" si="53"/>
        <v>73947.554014666675</v>
      </c>
      <c r="R39" s="15">
        <f t="shared" si="54"/>
        <v>148852.20888193115</v>
      </c>
      <c r="S39" s="17">
        <v>0.1071</v>
      </c>
      <c r="U39" s="18">
        <v>39766</v>
      </c>
      <c r="V39" s="18">
        <v>35338</v>
      </c>
      <c r="X39" s="18">
        <f t="shared" si="55"/>
        <v>64648</v>
      </c>
      <c r="Y39" s="18">
        <f t="shared" si="55"/>
        <v>60722</v>
      </c>
      <c r="Z39" s="17">
        <f t="shared" si="56"/>
        <v>-0.11135140572348237</v>
      </c>
      <c r="AA39" s="15">
        <f>AA27</f>
        <v>-387</v>
      </c>
      <c r="AB39" s="15">
        <f t="shared" si="57"/>
        <v>349257.9793152645</v>
      </c>
      <c r="AC39" s="17">
        <v>4.8000000000000001E-2</v>
      </c>
      <c r="AD39" s="15">
        <v>313138</v>
      </c>
      <c r="AE39" s="15">
        <v>330159</v>
      </c>
      <c r="AF39" s="17">
        <f t="shared" si="58"/>
        <v>5.4356226328328087E-2</v>
      </c>
      <c r="AG39" s="15">
        <v>301642</v>
      </c>
      <c r="AH39" s="15">
        <v>293859</v>
      </c>
      <c r="AI39" s="17">
        <f t="shared" si="59"/>
        <v>-2.5802109785772537E-2</v>
      </c>
      <c r="AJ39" s="15">
        <v>255189</v>
      </c>
      <c r="AK39" s="15">
        <v>251217</v>
      </c>
      <c r="AL39" s="17">
        <f t="shared" si="60"/>
        <v>-1.5564934225221306E-2</v>
      </c>
      <c r="AM39" s="20">
        <f t="shared" si="61"/>
        <v>161642</v>
      </c>
      <c r="AN39" s="20">
        <f t="shared" si="61"/>
        <v>138859</v>
      </c>
      <c r="AO39" s="17">
        <f t="shared" si="62"/>
        <v>-0.1409472785538412</v>
      </c>
      <c r="AP39" s="21">
        <v>71</v>
      </c>
      <c r="AQ39" s="21">
        <v>127</v>
      </c>
    </row>
    <row r="40" spans="1:43" x14ac:dyDescent="0.25">
      <c r="A40" s="8" t="s">
        <v>52</v>
      </c>
      <c r="B40" s="36" t="s">
        <v>72</v>
      </c>
      <c r="C40" s="15">
        <v>5000</v>
      </c>
      <c r="D40" s="15">
        <v>50697</v>
      </c>
      <c r="E40" s="15">
        <v>59698</v>
      </c>
      <c r="F40" s="15">
        <v>62200</v>
      </c>
      <c r="G40" s="15">
        <f t="shared" si="50"/>
        <v>7539.4101812820172</v>
      </c>
      <c r="H40" s="15">
        <f t="shared" si="50"/>
        <v>10306.266288199458</v>
      </c>
      <c r="I40" s="8">
        <v>59698</v>
      </c>
      <c r="J40" s="8">
        <v>2.4</v>
      </c>
      <c r="K40" s="8">
        <v>1.42</v>
      </c>
      <c r="L40" s="16">
        <f t="shared" si="63"/>
        <v>2.2369606666666666</v>
      </c>
      <c r="M40" s="37">
        <v>9533</v>
      </c>
      <c r="N40" s="15">
        <f t="shared" si="51"/>
        <v>31862.341374666667</v>
      </c>
      <c r="O40" s="15">
        <f t="shared" si="52"/>
        <v>10306.266288199458</v>
      </c>
      <c r="Q40" s="15">
        <f t="shared" si="53"/>
        <v>10306.266288199458</v>
      </c>
      <c r="R40" s="15">
        <f t="shared" si="54"/>
        <v>62200</v>
      </c>
      <c r="S40" s="17">
        <v>4.19E-2</v>
      </c>
      <c r="U40" s="18">
        <v>6681</v>
      </c>
      <c r="V40" s="18">
        <v>9982</v>
      </c>
      <c r="X40" s="18">
        <f t="shared" si="55"/>
        <v>52901</v>
      </c>
      <c r="Y40" s="18">
        <f t="shared" si="55"/>
        <v>60243</v>
      </c>
      <c r="Z40" s="17">
        <f t="shared" si="56"/>
        <v>0.49408771142044605</v>
      </c>
      <c r="AA40" s="15">
        <f>AA28</f>
        <v>2987</v>
      </c>
      <c r="AB40" s="15">
        <f t="shared" si="57"/>
        <v>349257.9793152645</v>
      </c>
      <c r="AC40" s="17">
        <v>4.8000000000000001E-2</v>
      </c>
      <c r="AD40" s="15">
        <v>172368</v>
      </c>
      <c r="AE40" s="15">
        <v>176000</v>
      </c>
      <c r="AF40" s="17">
        <f t="shared" si="58"/>
        <v>2.1071196509793E-2</v>
      </c>
      <c r="AG40" s="15">
        <v>175355</v>
      </c>
      <c r="AH40" s="15">
        <v>176000</v>
      </c>
      <c r="AI40" s="17">
        <f t="shared" si="59"/>
        <v>3.6782526874055486E-3</v>
      </c>
      <c r="AJ40" s="15">
        <v>98317</v>
      </c>
      <c r="AK40" s="15">
        <v>101000</v>
      </c>
      <c r="AL40" s="17">
        <f t="shared" si="60"/>
        <v>2.7289278558133383E-2</v>
      </c>
      <c r="AM40" s="20">
        <f t="shared" si="61"/>
        <v>115657</v>
      </c>
      <c r="AN40" s="20">
        <f t="shared" si="61"/>
        <v>113800</v>
      </c>
      <c r="AO40" s="17">
        <f t="shared" si="62"/>
        <v>-1.6056096907234321E-2</v>
      </c>
      <c r="AP40" s="21">
        <v>92</v>
      </c>
      <c r="AQ40" s="21">
        <v>134</v>
      </c>
    </row>
    <row r="41" spans="1:43" x14ac:dyDescent="0.25">
      <c r="A41" s="22" t="s">
        <v>57</v>
      </c>
      <c r="B41" s="22" t="s">
        <v>73</v>
      </c>
      <c r="C41" s="23">
        <f t="shared" ref="C41:I41" si="64">SUM(C31:C40)</f>
        <v>890067</v>
      </c>
      <c r="D41" s="23">
        <f t="shared" si="64"/>
        <v>930895</v>
      </c>
      <c r="E41" s="23">
        <f t="shared" si="64"/>
        <v>935054</v>
      </c>
      <c r="F41" s="23">
        <f t="shared" si="64"/>
        <v>1093091</v>
      </c>
      <c r="G41" s="23">
        <f t="shared" si="64"/>
        <v>519607.34878119454</v>
      </c>
      <c r="H41" s="23">
        <f t="shared" si="64"/>
        <v>588423.84745400562</v>
      </c>
      <c r="I41" s="23">
        <f t="shared" si="64"/>
        <v>763638</v>
      </c>
      <c r="J41" s="23"/>
      <c r="K41" s="23"/>
      <c r="L41" s="23"/>
      <c r="M41" s="38"/>
      <c r="N41" s="23">
        <f t="shared" ref="N41:R41" si="65">SUM(N31:N40)</f>
        <v>524214.72563299991</v>
      </c>
      <c r="O41" s="23">
        <f t="shared" si="65"/>
        <v>480974.939703407</v>
      </c>
      <c r="P41" s="23">
        <f t="shared" si="65"/>
        <v>0</v>
      </c>
      <c r="Q41" s="23">
        <f t="shared" si="65"/>
        <v>480974.939703407</v>
      </c>
      <c r="R41" s="23">
        <f t="shared" si="65"/>
        <v>1021555.3801493403</v>
      </c>
      <c r="S41" s="24">
        <f>IF(E41&gt;0,(F41-E41)/E41,"")</f>
        <v>0.1690137681887891</v>
      </c>
      <c r="T41" s="24"/>
      <c r="U41" s="25">
        <f>SUM(U31:U40)</f>
        <v>242214</v>
      </c>
      <c r="V41" s="25">
        <f>SUM(V31:V40)</f>
        <v>224161</v>
      </c>
      <c r="W41" s="25"/>
      <c r="X41" s="25">
        <f t="shared" ref="X41:Y41" si="66">SUM(X31:X40)</f>
        <v>487490</v>
      </c>
      <c r="Y41" s="25">
        <f t="shared" si="66"/>
        <v>470252</v>
      </c>
      <c r="Z41" s="24">
        <f>IF(U41&gt;0,(V41-U41)/U41,"")</f>
        <v>-7.4533263973180747E-2</v>
      </c>
      <c r="AA41" s="23" t="e">
        <f>SUM(AA31:AA40)</f>
        <v>#REF!</v>
      </c>
      <c r="AB41" s="23">
        <f t="shared" ref="AB41" si="67">SUM(AB31:AB40)</f>
        <v>2855895.6242726049</v>
      </c>
      <c r="AC41" s="17">
        <v>4.8000000000000001E-2</v>
      </c>
      <c r="AD41" s="23">
        <f>SUM(AD31:AD40)</f>
        <v>2180499</v>
      </c>
      <c r="AE41" s="23">
        <f>SUM(AE31:AE40)</f>
        <v>2368024</v>
      </c>
      <c r="AF41" s="24">
        <f t="shared" si="58"/>
        <v>8.6000956661754946E-2</v>
      </c>
      <c r="AG41" s="23">
        <f>SUM(AG31:AG40)</f>
        <v>2130978</v>
      </c>
      <c r="AH41" s="23">
        <f>SUM(AH31:AH40)</f>
        <v>2257946</v>
      </c>
      <c r="AI41" s="24">
        <f t="shared" si="59"/>
        <v>5.9582032287522443E-2</v>
      </c>
      <c r="AJ41" s="23">
        <f>SUM(AJ31:AJ40)</f>
        <v>1714675</v>
      </c>
      <c r="AK41" s="23">
        <f>SUM(AK31:AK40)</f>
        <v>1844226</v>
      </c>
      <c r="AL41" s="24">
        <f t="shared" si="60"/>
        <v>7.5554259553559711E-2</v>
      </c>
      <c r="AM41" s="20">
        <f t="shared" si="61"/>
        <v>1195924</v>
      </c>
      <c r="AN41" s="20">
        <f t="shared" si="61"/>
        <v>1164855</v>
      </c>
      <c r="AO41" s="24">
        <f t="shared" si="62"/>
        <v>-2.597907559343236E-2</v>
      </c>
      <c r="AP41" s="26"/>
      <c r="AQ41" s="21"/>
    </row>
    <row r="42" spans="1:43" x14ac:dyDescent="0.25">
      <c r="A42" s="9" t="s">
        <v>76</v>
      </c>
      <c r="B42" s="10"/>
      <c r="C42" s="11"/>
      <c r="D42" s="11"/>
      <c r="E42" s="11"/>
      <c r="F42" s="11"/>
      <c r="G42" s="11"/>
      <c r="H42" s="11"/>
      <c r="I42" s="10"/>
      <c r="J42" s="10"/>
      <c r="K42" s="10"/>
      <c r="L42" s="10"/>
      <c r="M42" s="35"/>
      <c r="N42" s="11"/>
      <c r="O42" s="39" t="str">
        <f>IF(ROUNDDOWN((O32-(E32*U32/X32))/(E32*U32/X32)*100,0)&gt;0,"+"&amp;ROUNDDOWN((O32-(E32*U32/X32))/(E32*U32/X32)*100,0)&amp;"% /2025",ROUNDDOWN((O32-(E32*U32/X32))/(E32*U32/X32)*100,0)&amp;"% /2025")</f>
        <v>-2% /2025</v>
      </c>
      <c r="P42" s="11"/>
      <c r="Q42" s="11"/>
      <c r="R42" s="11"/>
      <c r="S42" s="12"/>
      <c r="T42" s="12"/>
      <c r="U42" s="13"/>
      <c r="V42" s="13"/>
      <c r="W42" s="13"/>
      <c r="X42" s="13"/>
      <c r="Y42" s="13"/>
      <c r="Z42" s="12"/>
      <c r="AA42" s="11"/>
      <c r="AB42" s="11"/>
      <c r="AC42" s="12"/>
      <c r="AD42" s="11"/>
      <c r="AE42" s="11"/>
      <c r="AF42" s="12"/>
      <c r="AG42" s="11"/>
      <c r="AH42" s="11"/>
      <c r="AI42" s="12"/>
      <c r="AJ42" s="11"/>
      <c r="AK42" s="11"/>
      <c r="AL42" s="12"/>
      <c r="AM42" s="12"/>
      <c r="AN42" s="12"/>
      <c r="AO42" s="12"/>
      <c r="AP42" s="14"/>
      <c r="AQ42" s="21"/>
    </row>
    <row r="43" spans="1:43" x14ac:dyDescent="0.25">
      <c r="A43" s="8" t="s">
        <v>45</v>
      </c>
      <c r="B43" s="36" t="s">
        <v>77</v>
      </c>
      <c r="C43" s="15">
        <v>52000</v>
      </c>
      <c r="D43" s="15">
        <v>63000</v>
      </c>
      <c r="E43" s="15">
        <v>51012</v>
      </c>
      <c r="F43" s="15">
        <v>53000</v>
      </c>
      <c r="G43" s="15">
        <f>E43</f>
        <v>51012</v>
      </c>
      <c r="H43" s="15">
        <f>F43</f>
        <v>53000</v>
      </c>
      <c r="I43" s="8">
        <v>53000</v>
      </c>
      <c r="J43" s="8">
        <v>6</v>
      </c>
      <c r="K43" s="8">
        <v>4</v>
      </c>
      <c r="L43" s="16">
        <f>MAX(K43, J43 - (V43 * (J43 - K43) / 20000))</f>
        <v>4.1769999999999996</v>
      </c>
      <c r="M43" s="37">
        <f>((2*22*12*36)+(2*22*10*13))/3</f>
        <v>8242.6666666666661</v>
      </c>
      <c r="N43" s="15">
        <f t="shared" ref="N43:N48" si="68">IF(V43&gt;0,M43+L43*V43,0)</f>
        <v>84389.376666666663</v>
      </c>
      <c r="O43" s="15">
        <f t="shared" ref="O43:O48" si="69">IF(N43&gt;H43,H43,N43)</f>
        <v>53000</v>
      </c>
      <c r="Q43" s="15">
        <f t="shared" ref="Q43:Q48" si="70">O43+P43</f>
        <v>53000</v>
      </c>
      <c r="R43" s="15">
        <f t="shared" ref="R43:R48" si="71">SUMIF(B:B,B43,Q:Q)</f>
        <v>53000</v>
      </c>
      <c r="S43" s="17">
        <v>3.9E-2</v>
      </c>
      <c r="U43" s="18">
        <v>12753</v>
      </c>
      <c r="V43" s="18">
        <f>8388+2447+7395</f>
        <v>18230</v>
      </c>
      <c r="X43" s="18">
        <f>U43</f>
        <v>12753</v>
      </c>
      <c r="Y43" s="18">
        <f>V43</f>
        <v>18230</v>
      </c>
      <c r="Z43" s="17">
        <f t="shared" ref="Z43:Z48" si="72">IF(AND(ISNUMBER(U43), U43&gt;0), (V43-U43)/U43, "")</f>
        <v>0.42946757625656706</v>
      </c>
      <c r="AA43" s="15">
        <v>638</v>
      </c>
      <c r="AB43" s="15">
        <f t="shared" ref="AB43:AB48" si="73">SUMIF(A:A,A43,Q:Q)</f>
        <v>676484.10167466663</v>
      </c>
      <c r="AC43" s="17">
        <v>0.1951</v>
      </c>
      <c r="AD43" s="15">
        <v>101861</v>
      </c>
      <c r="AE43" s="15">
        <v>103350</v>
      </c>
      <c r="AF43" s="17">
        <f t="shared" ref="AF43:AF49" si="74">(AE43-AD43)/AD43</f>
        <v>1.4617959768704411E-2</v>
      </c>
      <c r="AG43" s="15">
        <v>102500</v>
      </c>
      <c r="AH43" s="15">
        <v>96480</v>
      </c>
      <c r="AI43" s="17">
        <f t="shared" ref="AI43:AI49" si="75">(AH43-AG43)/AG43</f>
        <v>-5.8731707317073167E-2</v>
      </c>
      <c r="AJ43" s="15">
        <v>75886</v>
      </c>
      <c r="AK43" s="15">
        <v>80000</v>
      </c>
      <c r="AL43" s="17">
        <f t="shared" ref="AL43:AL49" si="76">(AK43-AJ43)/AJ43</f>
        <v>5.4212898294810637E-2</v>
      </c>
      <c r="AM43" s="20">
        <f t="shared" ref="AM43:AN49" si="77">AG43-E43</f>
        <v>51488</v>
      </c>
      <c r="AN43" s="20">
        <f t="shared" si="77"/>
        <v>43480</v>
      </c>
      <c r="AO43" s="17">
        <f t="shared" ref="AO43:AO49" si="78">(AN43-AM43)/AM43</f>
        <v>-0.1555313859540087</v>
      </c>
      <c r="AQ43" s="21"/>
    </row>
    <row r="44" spans="1:43" x14ac:dyDescent="0.25">
      <c r="A44" s="8" t="s">
        <v>54</v>
      </c>
      <c r="B44" s="36" t="s">
        <v>55</v>
      </c>
      <c r="C44" s="15">
        <v>10729</v>
      </c>
      <c r="D44" s="15">
        <v>13925</v>
      </c>
      <c r="E44" s="15">
        <v>15032</v>
      </c>
      <c r="F44" s="15">
        <v>16822</v>
      </c>
      <c r="G44" s="15">
        <f t="shared" ref="G44:H48" si="79">E44</f>
        <v>15032</v>
      </c>
      <c r="H44" s="15">
        <f t="shared" si="79"/>
        <v>16822</v>
      </c>
      <c r="I44" s="8">
        <v>15000</v>
      </c>
      <c r="J44" s="8">
        <v>5</v>
      </c>
      <c r="K44" s="8">
        <v>3</v>
      </c>
      <c r="L44" s="16">
        <f t="shared" ref="L44:L48" si="80">MAX(K44, J44 - (V44 * (J44 - K44) / 20000))</f>
        <v>4.6833</v>
      </c>
      <c r="M44" s="37">
        <f>((1*22*2*36)+(2*22*10*13))/3</f>
        <v>2434.6666666666665</v>
      </c>
      <c r="N44" s="15">
        <f t="shared" si="68"/>
        <v>17266.677766666668</v>
      </c>
      <c r="O44" s="15">
        <f t="shared" si="69"/>
        <v>16822</v>
      </c>
      <c r="Q44" s="15">
        <f t="shared" si="70"/>
        <v>16822</v>
      </c>
      <c r="R44" s="15">
        <f t="shared" si="71"/>
        <v>152642.91105566666</v>
      </c>
      <c r="S44" s="17">
        <v>0.1191</v>
      </c>
      <c r="U44" s="18">
        <v>3758</v>
      </c>
      <c r="V44" s="18">
        <v>3167</v>
      </c>
      <c r="X44" s="18">
        <f t="shared" ref="X44:Y48" si="81">U44</f>
        <v>3758</v>
      </c>
      <c r="Y44" s="18">
        <f t="shared" si="81"/>
        <v>3167</v>
      </c>
      <c r="Z44" s="17">
        <f t="shared" si="72"/>
        <v>-0.1572645023948909</v>
      </c>
      <c r="AA44" s="15">
        <f>AA8</f>
        <v>-18107</v>
      </c>
      <c r="AB44" s="15">
        <f t="shared" si="73"/>
        <v>152642.91105566666</v>
      </c>
      <c r="AC44" s="17">
        <v>0.2833</v>
      </c>
      <c r="AD44" s="15">
        <v>36680</v>
      </c>
      <c r="AE44" s="15">
        <v>29367</v>
      </c>
      <c r="AF44" s="17">
        <f t="shared" si="74"/>
        <v>-0.19937295528898583</v>
      </c>
      <c r="AG44" s="15">
        <v>37251</v>
      </c>
      <c r="AH44" s="15">
        <v>29367</v>
      </c>
      <c r="AI44" s="17">
        <f t="shared" si="75"/>
        <v>-0.21164532495771926</v>
      </c>
      <c r="AJ44" s="15">
        <v>21619</v>
      </c>
      <c r="AK44" s="15">
        <v>20540</v>
      </c>
      <c r="AL44" s="17">
        <f t="shared" si="76"/>
        <v>-4.9909801563439569E-2</v>
      </c>
      <c r="AM44" s="20">
        <f t="shared" si="77"/>
        <v>22219</v>
      </c>
      <c r="AN44" s="20">
        <f t="shared" si="77"/>
        <v>12545</v>
      </c>
      <c r="AO44" s="17">
        <f t="shared" si="78"/>
        <v>-0.43539313200414059</v>
      </c>
      <c r="AP44" s="21">
        <v>62</v>
      </c>
      <c r="AQ44" s="21">
        <v>74</v>
      </c>
    </row>
    <row r="45" spans="1:43" x14ac:dyDescent="0.25">
      <c r="A45" s="8" t="s">
        <v>63</v>
      </c>
      <c r="B45" s="36" t="s">
        <v>64</v>
      </c>
      <c r="C45" s="15">
        <v>19594</v>
      </c>
      <c r="D45" s="15">
        <v>15900</v>
      </c>
      <c r="E45" s="15">
        <v>18099</v>
      </c>
      <c r="F45" s="15">
        <v>23321</v>
      </c>
      <c r="G45" s="15">
        <f t="shared" si="79"/>
        <v>18099</v>
      </c>
      <c r="H45" s="15">
        <f t="shared" si="79"/>
        <v>23321</v>
      </c>
      <c r="I45" s="8">
        <v>15900</v>
      </c>
      <c r="J45" s="8">
        <v>5</v>
      </c>
      <c r="K45" s="8">
        <v>3</v>
      </c>
      <c r="L45" s="16">
        <f t="shared" si="80"/>
        <v>4.7999000000000001</v>
      </c>
      <c r="M45" s="37">
        <f>((0*22*2*36)+(2*22*10*13))/3</f>
        <v>1906.6666666666667</v>
      </c>
      <c r="N45" s="15">
        <f t="shared" si="68"/>
        <v>11511.266566666665</v>
      </c>
      <c r="O45" s="15">
        <f t="shared" si="69"/>
        <v>11511.266566666665</v>
      </c>
      <c r="Q45" s="15">
        <f t="shared" si="70"/>
        <v>11511.266566666665</v>
      </c>
      <c r="R45" s="15">
        <f t="shared" si="71"/>
        <v>100798.92258033331</v>
      </c>
      <c r="S45" s="17">
        <v>0.28849999999999998</v>
      </c>
      <c r="U45" s="18">
        <v>4625</v>
      </c>
      <c r="V45" s="18">
        <v>2001</v>
      </c>
      <c r="X45" s="18">
        <f t="shared" si="81"/>
        <v>4625</v>
      </c>
      <c r="Y45" s="18">
        <f t="shared" si="81"/>
        <v>2001</v>
      </c>
      <c r="Z45" s="17">
        <f t="shared" si="72"/>
        <v>-0.5673513513513514</v>
      </c>
      <c r="AA45" s="15">
        <f>AA23</f>
        <v>-8000</v>
      </c>
      <c r="AB45" s="15">
        <f t="shared" si="73"/>
        <v>100798.92258033331</v>
      </c>
      <c r="AC45" s="17">
        <v>0.315</v>
      </c>
      <c r="AD45" s="15">
        <v>24112</v>
      </c>
      <c r="AE45" s="15">
        <v>32840</v>
      </c>
      <c r="AF45" s="17">
        <f t="shared" si="74"/>
        <v>0.36197743861977438</v>
      </c>
      <c r="AG45" s="15">
        <v>29510</v>
      </c>
      <c r="AH45" s="15">
        <v>33090</v>
      </c>
      <c r="AI45" s="17">
        <f t="shared" si="75"/>
        <v>0.12131480853947814</v>
      </c>
      <c r="AJ45" s="15">
        <v>15738</v>
      </c>
      <c r="AK45" s="15">
        <v>19321</v>
      </c>
      <c r="AL45" s="17">
        <f t="shared" si="76"/>
        <v>0.22766552293811157</v>
      </c>
      <c r="AM45" s="20">
        <f t="shared" si="77"/>
        <v>11411</v>
      </c>
      <c r="AN45" s="20">
        <f t="shared" si="77"/>
        <v>9769</v>
      </c>
      <c r="AO45" s="17">
        <f t="shared" si="78"/>
        <v>-0.14389624046972219</v>
      </c>
      <c r="AP45" s="21">
        <v>94</v>
      </c>
      <c r="AQ45" s="21">
        <v>94</v>
      </c>
    </row>
    <row r="46" spans="1:43" x14ac:dyDescent="0.25">
      <c r="A46" s="8" t="s">
        <v>119</v>
      </c>
      <c r="B46" s="36" t="s">
        <v>70</v>
      </c>
      <c r="C46" s="15">
        <v>0</v>
      </c>
      <c r="D46" s="15">
        <v>0</v>
      </c>
      <c r="E46" s="15">
        <v>6307</v>
      </c>
      <c r="F46" s="15">
        <v>10302</v>
      </c>
      <c r="G46" s="15">
        <f t="shared" si="79"/>
        <v>6307</v>
      </c>
      <c r="H46" s="15">
        <f t="shared" si="79"/>
        <v>10302</v>
      </c>
      <c r="I46" s="8">
        <v>8000</v>
      </c>
      <c r="J46" s="8">
        <v>5</v>
      </c>
      <c r="K46" s="8">
        <v>3</v>
      </c>
      <c r="L46" s="16">
        <f t="shared" si="80"/>
        <v>4.7592999999999996</v>
      </c>
      <c r="M46" s="37">
        <f t="shared" ref="M46" si="82">((0*22*2*36)+(2*22*10*13))/3</f>
        <v>1906.6666666666667</v>
      </c>
      <c r="N46" s="15">
        <f t="shared" si="68"/>
        <v>13362.301766666666</v>
      </c>
      <c r="O46" s="15">
        <f t="shared" si="69"/>
        <v>10302</v>
      </c>
      <c r="Q46" s="15">
        <f t="shared" si="70"/>
        <v>10302</v>
      </c>
      <c r="R46" s="15">
        <f t="shared" si="71"/>
        <v>70808.786328666669</v>
      </c>
      <c r="S46" s="17">
        <v>0.63339999999999996</v>
      </c>
      <c r="U46" s="18">
        <v>2085</v>
      </c>
      <c r="V46" s="18">
        <v>2407</v>
      </c>
      <c r="X46" s="18">
        <f t="shared" si="81"/>
        <v>2085</v>
      </c>
      <c r="Y46" s="18">
        <f t="shared" si="81"/>
        <v>2407</v>
      </c>
      <c r="Z46" s="17">
        <f t="shared" si="72"/>
        <v>0.15443645083932853</v>
      </c>
      <c r="AA46" s="15">
        <f>AA39</f>
        <v>-387</v>
      </c>
      <c r="AB46" s="15">
        <f t="shared" si="73"/>
        <v>10302</v>
      </c>
      <c r="AC46" s="17">
        <v>0.63339999999999996</v>
      </c>
      <c r="AD46" s="15">
        <v>17009</v>
      </c>
      <c r="AE46" s="15">
        <v>20160</v>
      </c>
      <c r="AF46" s="17">
        <f t="shared" si="74"/>
        <v>0.18525486507143277</v>
      </c>
      <c r="AG46" s="15">
        <v>0</v>
      </c>
      <c r="AH46" s="15">
        <v>20160</v>
      </c>
      <c r="AI46" s="17" t="e">
        <f t="shared" si="75"/>
        <v>#DIV/0!</v>
      </c>
      <c r="AJ46" s="15">
        <v>11978</v>
      </c>
      <c r="AK46" s="15">
        <v>13150</v>
      </c>
      <c r="AL46" s="17">
        <f t="shared" si="76"/>
        <v>9.7846051093671726E-2</v>
      </c>
      <c r="AM46" s="20">
        <f t="shared" si="77"/>
        <v>-6307</v>
      </c>
      <c r="AN46" s="20">
        <f t="shared" si="77"/>
        <v>9858</v>
      </c>
      <c r="AO46" s="17">
        <f t="shared" si="78"/>
        <v>-2.5630252100840338</v>
      </c>
      <c r="AP46" s="21">
        <v>108</v>
      </c>
      <c r="AQ46" s="21">
        <v>108</v>
      </c>
    </row>
    <row r="47" spans="1:43" x14ac:dyDescent="0.25">
      <c r="A47" s="8" t="s">
        <v>120</v>
      </c>
      <c r="B47" s="36" t="s">
        <v>71</v>
      </c>
      <c r="C47" s="15">
        <v>0</v>
      </c>
      <c r="D47" s="15">
        <v>0</v>
      </c>
      <c r="E47" s="15">
        <v>38000</v>
      </c>
      <c r="F47" s="15">
        <v>40000</v>
      </c>
      <c r="G47" s="15">
        <f t="shared" si="79"/>
        <v>38000</v>
      </c>
      <c r="H47" s="15">
        <f t="shared" si="79"/>
        <v>40000</v>
      </c>
      <c r="I47" s="8">
        <v>40000</v>
      </c>
      <c r="J47" s="8">
        <v>5</v>
      </c>
      <c r="K47" s="8">
        <v>3</v>
      </c>
      <c r="L47" s="16">
        <f t="shared" si="80"/>
        <v>4.5923999999999996</v>
      </c>
      <c r="M47" s="37">
        <f>((1*22*2*36)+(2*22*10*13))/3</f>
        <v>2434.6666666666665</v>
      </c>
      <c r="N47" s="15">
        <f t="shared" si="68"/>
        <v>21153.289066666664</v>
      </c>
      <c r="O47" s="15">
        <f t="shared" si="69"/>
        <v>21153.289066666664</v>
      </c>
      <c r="Q47" s="15">
        <f t="shared" si="70"/>
        <v>21153.289066666664</v>
      </c>
      <c r="R47" s="15">
        <f t="shared" si="71"/>
        <v>148852.20888193115</v>
      </c>
      <c r="S47" s="17">
        <v>5.2600000000000001E-2</v>
      </c>
      <c r="U47" s="18">
        <v>0</v>
      </c>
      <c r="V47" s="18">
        <v>4076</v>
      </c>
      <c r="X47" s="18">
        <f t="shared" si="81"/>
        <v>0</v>
      </c>
      <c r="Y47" s="18">
        <f t="shared" si="81"/>
        <v>4076</v>
      </c>
      <c r="Z47" s="17" t="str">
        <f t="shared" si="72"/>
        <v/>
      </c>
      <c r="AA47" s="15">
        <f>AA32</f>
        <v>8500</v>
      </c>
      <c r="AB47" s="15">
        <f t="shared" si="73"/>
        <v>37600.289066666664</v>
      </c>
      <c r="AC47" s="17">
        <v>0.30959999999999999</v>
      </c>
      <c r="AD47" s="15">
        <v>47837</v>
      </c>
      <c r="AE47" s="15">
        <v>65323</v>
      </c>
      <c r="AF47" s="17">
        <f t="shared" si="74"/>
        <v>0.36553295566193533</v>
      </c>
      <c r="AG47" s="15">
        <v>54864</v>
      </c>
      <c r="AH47" s="15">
        <v>60785</v>
      </c>
      <c r="AI47" s="17">
        <f t="shared" si="75"/>
        <v>0.10792140565762613</v>
      </c>
      <c r="AJ47" s="15">
        <v>31293</v>
      </c>
      <c r="AK47" s="15">
        <v>28362</v>
      </c>
      <c r="AL47" s="17">
        <f t="shared" si="76"/>
        <v>-9.366311954750263E-2</v>
      </c>
      <c r="AM47" s="20">
        <f t="shared" si="77"/>
        <v>16864</v>
      </c>
      <c r="AN47" s="20">
        <f t="shared" si="77"/>
        <v>20785</v>
      </c>
      <c r="AO47" s="17">
        <f t="shared" si="78"/>
        <v>0.23250711574952562</v>
      </c>
      <c r="AP47" s="21">
        <v>71</v>
      </c>
      <c r="AQ47" s="21">
        <v>127</v>
      </c>
    </row>
    <row r="48" spans="1:43" x14ac:dyDescent="0.25">
      <c r="A48" s="8" t="s">
        <v>42</v>
      </c>
      <c r="B48" s="36" t="s">
        <v>61</v>
      </c>
      <c r="C48" s="15">
        <v>1240</v>
      </c>
      <c r="D48" s="15">
        <v>2028</v>
      </c>
      <c r="E48" s="15">
        <v>4230</v>
      </c>
      <c r="F48" s="15">
        <v>2825</v>
      </c>
      <c r="G48" s="15">
        <f t="shared" si="79"/>
        <v>4230</v>
      </c>
      <c r="H48" s="15">
        <f t="shared" si="79"/>
        <v>2825</v>
      </c>
      <c r="I48" s="8">
        <v>2825</v>
      </c>
      <c r="J48" s="8">
        <v>5</v>
      </c>
      <c r="K48" s="8">
        <v>3</v>
      </c>
      <c r="L48" s="16">
        <f t="shared" si="80"/>
        <v>4.8220999999999998</v>
      </c>
      <c r="M48" s="37">
        <f>((1*22*2*36)+(2*22*10*13))/3</f>
        <v>2434.6666666666665</v>
      </c>
      <c r="N48" s="15">
        <f t="shared" si="68"/>
        <v>11013.182566666666</v>
      </c>
      <c r="O48" s="15">
        <f t="shared" si="69"/>
        <v>2825</v>
      </c>
      <c r="Q48" s="15">
        <f t="shared" si="70"/>
        <v>2825</v>
      </c>
      <c r="R48" s="15">
        <f t="shared" si="71"/>
        <v>81347.415198909206</v>
      </c>
      <c r="S48" s="17">
        <v>-0.3322</v>
      </c>
      <c r="U48" s="18">
        <v>1712</v>
      </c>
      <c r="V48" s="18">
        <v>1779</v>
      </c>
      <c r="X48" s="18">
        <f t="shared" si="81"/>
        <v>1712</v>
      </c>
      <c r="Y48" s="18">
        <f t="shared" si="81"/>
        <v>1779</v>
      </c>
      <c r="Z48" s="17">
        <f t="shared" si="72"/>
        <v>3.9135514018691586E-2</v>
      </c>
      <c r="AB48" s="15">
        <f t="shared" si="73"/>
        <v>174647.41519890921</v>
      </c>
      <c r="AC48" s="17">
        <v>6.0199999999999997E-2</v>
      </c>
      <c r="AD48" s="15">
        <v>24655</v>
      </c>
      <c r="AE48" s="15">
        <v>25536</v>
      </c>
      <c r="AF48" s="17">
        <f t="shared" si="74"/>
        <v>3.5733117014804298E-2</v>
      </c>
      <c r="AG48" s="15">
        <v>19018</v>
      </c>
      <c r="AH48" s="15">
        <v>16751</v>
      </c>
      <c r="AI48" s="17">
        <f t="shared" si="75"/>
        <v>-0.11920286044799663</v>
      </c>
      <c r="AJ48" s="15">
        <v>13818</v>
      </c>
      <c r="AK48" s="15">
        <v>15620</v>
      </c>
      <c r="AL48" s="17">
        <f t="shared" si="76"/>
        <v>0.13040961065277173</v>
      </c>
      <c r="AM48" s="20">
        <f t="shared" si="77"/>
        <v>14788</v>
      </c>
      <c r="AN48" s="20">
        <f t="shared" si="77"/>
        <v>13926</v>
      </c>
      <c r="AO48" s="17">
        <f t="shared" si="78"/>
        <v>-5.8290505815526104E-2</v>
      </c>
      <c r="AP48" s="21">
        <v>80</v>
      </c>
      <c r="AQ48" s="21">
        <v>83</v>
      </c>
    </row>
    <row r="49" spans="1:43" x14ac:dyDescent="0.25">
      <c r="A49" s="22" t="s">
        <v>57</v>
      </c>
      <c r="B49" s="22" t="s">
        <v>78</v>
      </c>
      <c r="C49" s="23">
        <f t="shared" ref="C49:I49" si="83">SUM(C43:C48)</f>
        <v>83563</v>
      </c>
      <c r="D49" s="23">
        <f t="shared" si="83"/>
        <v>94853</v>
      </c>
      <c r="E49" s="23">
        <f t="shared" si="83"/>
        <v>132680</v>
      </c>
      <c r="F49" s="23">
        <f t="shared" si="83"/>
        <v>146270</v>
      </c>
      <c r="G49" s="23">
        <f t="shared" si="83"/>
        <v>132680</v>
      </c>
      <c r="H49" s="23">
        <f t="shared" si="83"/>
        <v>146270</v>
      </c>
      <c r="I49" s="23">
        <f t="shared" si="83"/>
        <v>134725</v>
      </c>
      <c r="J49" s="23"/>
      <c r="K49" s="23"/>
      <c r="L49" s="23"/>
      <c r="M49" s="38"/>
      <c r="N49" s="23">
        <f t="shared" ref="N49:R49" si="84">SUM(N43:N48)</f>
        <v>158696.09439999997</v>
      </c>
      <c r="O49" s="23">
        <f t="shared" si="84"/>
        <v>115613.55563333332</v>
      </c>
      <c r="P49" s="23">
        <f t="shared" si="84"/>
        <v>0</v>
      </c>
      <c r="Q49" s="23">
        <f t="shared" si="84"/>
        <v>115613.55563333332</v>
      </c>
      <c r="R49" s="23">
        <f t="shared" si="84"/>
        <v>607450.24404550705</v>
      </c>
      <c r="S49" s="24">
        <f>IF(E49&gt;0,(F49-E49)/E49,"")</f>
        <v>0.10242689176967139</v>
      </c>
      <c r="T49" s="24"/>
      <c r="U49" s="25">
        <f>SUM(U43:U48)</f>
        <v>24933</v>
      </c>
      <c r="V49" s="25">
        <f>SUM(V43:V48)</f>
        <v>31660</v>
      </c>
      <c r="W49" s="25"/>
      <c r="X49" s="25">
        <f t="shared" ref="X49:Y49" si="85">SUM(X43:X48)</f>
        <v>24933</v>
      </c>
      <c r="Y49" s="25">
        <f t="shared" si="85"/>
        <v>31660</v>
      </c>
      <c r="Z49" s="24">
        <f>IF(U49&gt;0,(V49-U49)/U49,"")</f>
        <v>0.26980307223358602</v>
      </c>
      <c r="AA49" s="23">
        <f>SUM(AA43:AA48)</f>
        <v>-17356</v>
      </c>
      <c r="AB49" s="23">
        <f t="shared" ref="AB49" si="86">SUM(AB43:AB48)</f>
        <v>1152475.6395762423</v>
      </c>
      <c r="AC49" s="24"/>
      <c r="AD49" s="23">
        <f>SUM(AD43:AD48)</f>
        <v>252154</v>
      </c>
      <c r="AE49" s="23">
        <f>SUM(AE43:AE48)</f>
        <v>276576</v>
      </c>
      <c r="AF49" s="24">
        <f t="shared" si="74"/>
        <v>9.6853510156491671E-2</v>
      </c>
      <c r="AG49" s="23">
        <f>SUM(AG43:AG48)</f>
        <v>243143</v>
      </c>
      <c r="AH49" s="23">
        <f>SUM(AH43:AH48)</f>
        <v>256633</v>
      </c>
      <c r="AI49" s="24">
        <f t="shared" si="75"/>
        <v>5.5481753535984994E-2</v>
      </c>
      <c r="AJ49" s="23">
        <f>SUM(AJ43:AJ48)</f>
        <v>170332</v>
      </c>
      <c r="AK49" s="23">
        <f>SUM(AK43:AK48)</f>
        <v>176993</v>
      </c>
      <c r="AL49" s="24">
        <f t="shared" si="76"/>
        <v>3.9105981260127279E-2</v>
      </c>
      <c r="AM49" s="20">
        <f t="shared" si="77"/>
        <v>110463</v>
      </c>
      <c r="AN49" s="20">
        <f t="shared" si="77"/>
        <v>110363</v>
      </c>
      <c r="AO49" s="24">
        <f t="shared" si="78"/>
        <v>-9.0528050116328541E-4</v>
      </c>
      <c r="AP49" s="26"/>
      <c r="AQ49" s="21"/>
    </row>
    <row r="50" spans="1:43" x14ac:dyDescent="0.25">
      <c r="A50" s="9" t="s">
        <v>79</v>
      </c>
      <c r="B50" s="10"/>
      <c r="C50" s="11"/>
      <c r="D50" s="11"/>
      <c r="E50" s="11"/>
      <c r="F50" s="11"/>
      <c r="G50" s="11"/>
      <c r="H50" s="11"/>
      <c r="I50" s="10"/>
      <c r="J50" s="10"/>
      <c r="K50" s="10"/>
      <c r="L50" s="10"/>
      <c r="M50" s="35"/>
      <c r="N50" s="11"/>
      <c r="O50" s="11" t="str">
        <f>IF(ROUNDDOWN((O49-E49)/E49*100,0)&gt;0,"+"&amp;ROUNDDOWN((O49-E49)/E49*100,0)&amp;"% /2025",ROUNDDOWN((O49-E49)/E49*100,0)&amp;"% /2025")</f>
        <v>-12% /2025</v>
      </c>
      <c r="P50" s="11"/>
      <c r="Q50" s="11"/>
      <c r="R50" s="11"/>
      <c r="S50" s="12"/>
      <c r="T50" s="12"/>
      <c r="U50" s="13"/>
      <c r="V50" s="13"/>
      <c r="W50" s="13"/>
      <c r="X50" s="13"/>
      <c r="Y50" s="13"/>
      <c r="Z50" s="12"/>
      <c r="AA50" s="11"/>
      <c r="AB50" s="11"/>
      <c r="AC50" s="12"/>
      <c r="AD50" s="11"/>
      <c r="AE50" s="11"/>
      <c r="AF50" s="12"/>
      <c r="AG50" s="11"/>
      <c r="AH50" s="11"/>
      <c r="AI50" s="12"/>
      <c r="AJ50" s="11"/>
      <c r="AK50" s="11"/>
      <c r="AL50" s="12"/>
      <c r="AM50" s="12"/>
      <c r="AN50" s="12"/>
      <c r="AO50" s="12"/>
      <c r="AP50" s="14"/>
      <c r="AQ50" s="21"/>
    </row>
    <row r="51" spans="1:43" x14ac:dyDescent="0.25">
      <c r="A51" s="8" t="s">
        <v>59</v>
      </c>
      <c r="B51" s="36" t="s">
        <v>80</v>
      </c>
      <c r="C51" s="15">
        <v>10000</v>
      </c>
      <c r="D51" s="15">
        <v>23219</v>
      </c>
      <c r="E51" s="15">
        <v>23220</v>
      </c>
      <c r="F51" s="15">
        <v>23600</v>
      </c>
      <c r="G51" s="15">
        <f>E51</f>
        <v>23220</v>
      </c>
      <c r="H51" s="15">
        <f>F51</f>
        <v>23600</v>
      </c>
      <c r="I51" s="8">
        <v>23600</v>
      </c>
      <c r="J51" s="8">
        <v>0.7</v>
      </c>
      <c r="K51" s="8">
        <v>0.7</v>
      </c>
      <c r="L51" s="16">
        <f t="shared" ref="L51:L54" si="87">MAX(K51, J51 - (V51 * (J51 - K51) / 60000))</f>
        <v>0.7</v>
      </c>
      <c r="N51" s="15">
        <f>IF(V51&gt;0,M51+L51*V51,0)</f>
        <v>24318.699999999997</v>
      </c>
      <c r="O51" s="15">
        <f t="shared" ref="O51:O65" si="88">IF(N51&gt;H51,H51,N51)</f>
        <v>23600</v>
      </c>
      <c r="Q51" s="15">
        <f t="shared" ref="Q51:Q65" si="89">O51+P51</f>
        <v>23600</v>
      </c>
      <c r="R51" s="15">
        <f>SUMIF(B:B,B51,Q:Q)</f>
        <v>23600</v>
      </c>
      <c r="S51" s="17">
        <v>1.6400000000000001E-2</v>
      </c>
      <c r="U51" s="18">
        <f>23899+9116</f>
        <v>33015</v>
      </c>
      <c r="V51" s="29">
        <f>25625+9116</f>
        <v>34741</v>
      </c>
      <c r="X51" s="18">
        <f t="shared" ref="X51:Y56" si="90">SUMIF($B:$B,$B51,U:U)</f>
        <v>33015</v>
      </c>
      <c r="Y51" s="18">
        <f t="shared" si="90"/>
        <v>34741</v>
      </c>
      <c r="Z51" s="17">
        <f>IF(AND(ISNUMBER(U51), U51&gt;0), (V51-U51)/U51, "")</f>
        <v>5.2279266999848556E-2</v>
      </c>
      <c r="AB51" s="15">
        <f t="shared" ref="AB51:AB65" si="91">SUMIF(A:A,A51,Q:Q)</f>
        <v>165097.52127616666</v>
      </c>
      <c r="AC51" s="17">
        <v>0.12939999999999999</v>
      </c>
      <c r="AD51" s="15">
        <v>74120</v>
      </c>
      <c r="AE51" s="15">
        <v>67769</v>
      </c>
      <c r="AF51" s="17">
        <f t="shared" ref="AF51:AF68" si="92">(AE51-AD51)/AD51</f>
        <v>-8.5685375067458172E-2</v>
      </c>
      <c r="AG51" s="15">
        <v>71092</v>
      </c>
      <c r="AH51" s="15">
        <v>67769</v>
      </c>
      <c r="AI51" s="17">
        <f t="shared" ref="AI51:AI68" si="93">(AH51-AG51)/AG51</f>
        <v>-4.674224947954763E-2</v>
      </c>
      <c r="AJ51" s="15">
        <v>52728</v>
      </c>
      <c r="AK51" s="15">
        <v>50779</v>
      </c>
      <c r="AL51" s="17">
        <f t="shared" ref="AL51:AL68" si="94">(AK51-AJ51)/AJ51</f>
        <v>-3.6963283265058412E-2</v>
      </c>
      <c r="AM51" s="20">
        <f t="shared" ref="AM51:AN54" si="95">AG51-E51</f>
        <v>47872</v>
      </c>
      <c r="AN51" s="20">
        <f t="shared" si="95"/>
        <v>44169</v>
      </c>
      <c r="AO51" s="17">
        <f t="shared" ref="AO51:AO68" si="96">(AN51-AM51)/AM51</f>
        <v>-7.7352105614973257E-2</v>
      </c>
      <c r="AP51" s="21">
        <v>166</v>
      </c>
      <c r="AQ51" s="21">
        <v>166</v>
      </c>
    </row>
    <row r="52" spans="1:43" x14ac:dyDescent="0.25">
      <c r="A52" s="8" t="s">
        <v>45</v>
      </c>
      <c r="B52" s="36" t="s">
        <v>81</v>
      </c>
      <c r="C52" s="15">
        <v>66100</v>
      </c>
      <c r="D52" s="15">
        <v>66100</v>
      </c>
      <c r="E52" s="15">
        <v>66100</v>
      </c>
      <c r="F52" s="15">
        <v>66100</v>
      </c>
      <c r="G52" s="15">
        <f t="shared" ref="G52:H57" si="97">E52</f>
        <v>66100</v>
      </c>
      <c r="H52" s="15">
        <f t="shared" si="97"/>
        <v>66100</v>
      </c>
      <c r="I52" s="8">
        <v>66100</v>
      </c>
      <c r="J52" s="8">
        <v>0.7</v>
      </c>
      <c r="K52" s="8">
        <v>0.7</v>
      </c>
      <c r="L52" s="16">
        <f t="shared" si="87"/>
        <v>0.7</v>
      </c>
      <c r="N52" s="15">
        <f t="shared" ref="N52:N54" si="98">IF(V52&gt;0,M52+L52*V52,0)</f>
        <v>69300</v>
      </c>
      <c r="O52" s="15">
        <f t="shared" si="88"/>
        <v>66100</v>
      </c>
      <c r="Q52" s="15">
        <f t="shared" si="89"/>
        <v>66100</v>
      </c>
      <c r="R52" s="15">
        <f>SUMIF(B:B,B52,Q:Q)</f>
        <v>66100</v>
      </c>
      <c r="S52" s="17">
        <v>0</v>
      </c>
      <c r="U52" s="18">
        <v>94000</v>
      </c>
      <c r="V52" s="8">
        <v>99000</v>
      </c>
      <c r="X52" s="18">
        <f t="shared" si="90"/>
        <v>94000</v>
      </c>
      <c r="Y52" s="18">
        <f t="shared" si="90"/>
        <v>99000</v>
      </c>
      <c r="Z52" s="17">
        <f>IF(AND(ISNUMBER(U52), U52&gt;0), (V52-U52)/U52, "")</f>
        <v>5.3191489361702128E-2</v>
      </c>
      <c r="AB52" s="15">
        <f t="shared" si="91"/>
        <v>676484.10167466663</v>
      </c>
      <c r="AC52" s="17">
        <v>0</v>
      </c>
      <c r="AD52" s="15">
        <v>179143</v>
      </c>
      <c r="AE52" s="15">
        <v>174000</v>
      </c>
      <c r="AF52" s="17">
        <f t="shared" si="92"/>
        <v>-2.8708908525591288E-2</v>
      </c>
      <c r="AG52" s="15">
        <v>181864</v>
      </c>
      <c r="AH52" s="15">
        <v>175300</v>
      </c>
      <c r="AI52" s="17">
        <f t="shared" si="93"/>
        <v>-3.609290458804381E-2</v>
      </c>
      <c r="AJ52" s="15">
        <v>116249</v>
      </c>
      <c r="AK52" s="15">
        <v>118200</v>
      </c>
      <c r="AL52" s="17">
        <f t="shared" si="94"/>
        <v>1.6782940068301663E-2</v>
      </c>
      <c r="AM52" s="20">
        <f t="shared" si="95"/>
        <v>115764</v>
      </c>
      <c r="AN52" s="20">
        <f t="shared" si="95"/>
        <v>109200</v>
      </c>
      <c r="AO52" s="17">
        <f t="shared" si="96"/>
        <v>-5.6701565253446669E-2</v>
      </c>
      <c r="AP52" s="21">
        <v>35</v>
      </c>
      <c r="AQ52" s="21">
        <v>297</v>
      </c>
    </row>
    <row r="53" spans="1:43" x14ac:dyDescent="0.25">
      <c r="A53" s="8" t="s">
        <v>82</v>
      </c>
      <c r="B53" s="36" t="s">
        <v>83</v>
      </c>
      <c r="C53" s="15">
        <v>500</v>
      </c>
      <c r="D53" s="15">
        <v>500</v>
      </c>
      <c r="E53" s="15">
        <v>500</v>
      </c>
      <c r="F53" s="15">
        <v>500</v>
      </c>
      <c r="G53" s="15">
        <f t="shared" si="97"/>
        <v>500</v>
      </c>
      <c r="H53" s="15">
        <f t="shared" si="97"/>
        <v>500</v>
      </c>
      <c r="I53" s="8">
        <v>500</v>
      </c>
      <c r="J53" s="8">
        <v>1</v>
      </c>
      <c r="K53" s="8">
        <v>1</v>
      </c>
      <c r="L53" s="16">
        <f t="shared" si="87"/>
        <v>1</v>
      </c>
      <c r="N53" s="15">
        <f t="shared" si="98"/>
        <v>0</v>
      </c>
      <c r="O53" s="15">
        <f t="shared" si="88"/>
        <v>0</v>
      </c>
      <c r="Q53" s="15">
        <f t="shared" si="89"/>
        <v>0</v>
      </c>
      <c r="R53" s="15">
        <f>SUMIF(B:B,B53,Q:Q)</f>
        <v>0</v>
      </c>
      <c r="S53" s="17">
        <v>0</v>
      </c>
      <c r="T53" s="15" t="s">
        <v>84</v>
      </c>
      <c r="X53" s="18">
        <f t="shared" si="90"/>
        <v>0</v>
      </c>
      <c r="Y53" s="18">
        <f t="shared" si="90"/>
        <v>0</v>
      </c>
      <c r="Z53" s="17" t="str">
        <f>IF(AND(ISNUMBER(U53), U53&gt;0), (V53-U53)/U53, "")</f>
        <v/>
      </c>
      <c r="AB53" s="15">
        <f t="shared" si="91"/>
        <v>0</v>
      </c>
      <c r="AC53" s="17">
        <v>0</v>
      </c>
      <c r="AF53" s="17" t="e">
        <f t="shared" si="92"/>
        <v>#DIV/0!</v>
      </c>
      <c r="AI53" s="17" t="e">
        <f t="shared" si="93"/>
        <v>#DIV/0!</v>
      </c>
      <c r="AL53" s="17" t="e">
        <f t="shared" si="94"/>
        <v>#DIV/0!</v>
      </c>
      <c r="AM53" s="20">
        <f t="shared" si="95"/>
        <v>-500</v>
      </c>
      <c r="AN53" s="20">
        <f t="shared" si="95"/>
        <v>-500</v>
      </c>
      <c r="AO53" s="17">
        <f t="shared" si="96"/>
        <v>0</v>
      </c>
      <c r="AQ53" s="21"/>
    </row>
    <row r="54" spans="1:43" x14ac:dyDescent="0.25">
      <c r="A54" s="8" t="s">
        <v>120</v>
      </c>
      <c r="B54" s="36" t="s">
        <v>85</v>
      </c>
      <c r="C54" s="15">
        <v>1000</v>
      </c>
      <c r="D54" s="15">
        <v>3000</v>
      </c>
      <c r="E54" s="15">
        <v>21022</v>
      </c>
      <c r="F54" s="15">
        <v>37296</v>
      </c>
      <c r="G54" s="15">
        <f t="shared" si="97"/>
        <v>21022</v>
      </c>
      <c r="H54" s="15">
        <f t="shared" si="97"/>
        <v>37296</v>
      </c>
      <c r="I54" s="8" t="s">
        <v>86</v>
      </c>
      <c r="J54" s="8">
        <v>1</v>
      </c>
      <c r="K54" s="8">
        <v>1</v>
      </c>
      <c r="L54" s="16">
        <f t="shared" si="87"/>
        <v>1</v>
      </c>
      <c r="N54" s="15">
        <f t="shared" si="98"/>
        <v>16447</v>
      </c>
      <c r="O54" s="15">
        <f t="shared" si="88"/>
        <v>16447</v>
      </c>
      <c r="Q54" s="15">
        <f t="shared" si="89"/>
        <v>16447</v>
      </c>
      <c r="R54" s="15">
        <f>SUMIF(B:B,B54,Q:Q)</f>
        <v>16447</v>
      </c>
      <c r="S54" s="17">
        <v>0.77410000000000001</v>
      </c>
      <c r="V54" s="8">
        <v>16447</v>
      </c>
      <c r="X54" s="18">
        <f t="shared" si="90"/>
        <v>0</v>
      </c>
      <c r="Y54" s="18">
        <f t="shared" si="90"/>
        <v>16447</v>
      </c>
      <c r="Z54" s="17" t="str">
        <f>IF(AND(ISNUMBER(U54), U54&gt;0), (V54-U54)/U54, "")</f>
        <v/>
      </c>
      <c r="AA54" s="15">
        <v>11554</v>
      </c>
      <c r="AB54" s="15">
        <f t="shared" si="91"/>
        <v>37600.289066666664</v>
      </c>
      <c r="AC54" s="17">
        <v>0.30959999999999999</v>
      </c>
      <c r="AD54" s="15">
        <v>61123</v>
      </c>
      <c r="AE54" s="15">
        <v>76530</v>
      </c>
      <c r="AF54" s="17">
        <f t="shared" si="92"/>
        <v>0.25206550725586113</v>
      </c>
      <c r="AG54" s="15">
        <v>72677</v>
      </c>
      <c r="AH54" s="15">
        <v>76530</v>
      </c>
      <c r="AI54" s="17">
        <f t="shared" si="93"/>
        <v>5.3015396893102355E-2</v>
      </c>
      <c r="AJ54" s="15">
        <v>40261</v>
      </c>
      <c r="AK54" s="15">
        <v>42000</v>
      </c>
      <c r="AL54" s="17">
        <f t="shared" si="94"/>
        <v>4.3193164600978613E-2</v>
      </c>
      <c r="AM54" s="20">
        <f t="shared" si="95"/>
        <v>51655</v>
      </c>
      <c r="AN54" s="20">
        <f t="shared" si="95"/>
        <v>39234</v>
      </c>
      <c r="AO54" s="17">
        <f t="shared" si="96"/>
        <v>-0.24046074920143259</v>
      </c>
      <c r="AP54" s="21">
        <v>136</v>
      </c>
      <c r="AQ54" s="21">
        <v>278</v>
      </c>
    </row>
    <row r="55" spans="1:43" x14ac:dyDescent="0.25">
      <c r="A55" s="8" t="s">
        <v>45</v>
      </c>
      <c r="B55" s="36" t="s">
        <v>87</v>
      </c>
      <c r="C55" s="28">
        <f>95048*H55/F55</f>
        <v>48979.422500000001</v>
      </c>
      <c r="D55" s="28">
        <f>101579*H55/F55</f>
        <v>52344.928437499999</v>
      </c>
      <c r="E55" s="28">
        <f>107000*H55/F55</f>
        <v>55138.4375</v>
      </c>
      <c r="F55" s="15">
        <v>80000</v>
      </c>
      <c r="G55" s="15">
        <f t="shared" si="97"/>
        <v>55138.4375</v>
      </c>
      <c r="H55" s="15">
        <v>41225</v>
      </c>
      <c r="L55" s="16"/>
      <c r="M55" s="37">
        <f>22*7*5*52/2</f>
        <v>20020</v>
      </c>
      <c r="N55" s="15">
        <f>22*7*5*52/2</f>
        <v>20020</v>
      </c>
      <c r="O55" s="15">
        <f t="shared" si="88"/>
        <v>20020</v>
      </c>
      <c r="P55" s="15">
        <v>-740</v>
      </c>
      <c r="Q55" s="15">
        <f t="shared" si="89"/>
        <v>19280</v>
      </c>
      <c r="R55" s="15">
        <f>Q55+Q56+Q57</f>
        <v>53500</v>
      </c>
      <c r="V55" s="8">
        <v>0</v>
      </c>
      <c r="X55" s="18">
        <f t="shared" si="90"/>
        <v>0</v>
      </c>
      <c r="Y55" s="18">
        <f t="shared" si="90"/>
        <v>0</v>
      </c>
      <c r="AA55" s="15">
        <v>39389</v>
      </c>
      <c r="AB55" s="15">
        <f t="shared" si="91"/>
        <v>676484.10167466663</v>
      </c>
      <c r="AC55" s="17">
        <v>0.30959999999999999</v>
      </c>
      <c r="AD55" s="15">
        <v>344364</v>
      </c>
      <c r="AE55" s="15">
        <v>389900</v>
      </c>
      <c r="AF55" s="17">
        <f t="shared" si="92"/>
        <v>0.13223217293329151</v>
      </c>
      <c r="AG55" s="15">
        <v>383753</v>
      </c>
      <c r="AH55" s="15">
        <v>393215</v>
      </c>
      <c r="AI55" s="17">
        <f t="shared" si="93"/>
        <v>2.4656484770151633E-2</v>
      </c>
      <c r="AJ55" s="15">
        <v>188311</v>
      </c>
      <c r="AK55" s="15">
        <v>235000</v>
      </c>
      <c r="AL55" s="17">
        <f t="shared" si="94"/>
        <v>0.24793559590252295</v>
      </c>
      <c r="AM55" s="20">
        <f>383753-107000</f>
        <v>276753</v>
      </c>
      <c r="AN55" s="20">
        <f>396015-80000</f>
        <v>316015</v>
      </c>
      <c r="AO55" s="17">
        <f t="shared" si="96"/>
        <v>0.14186657416541104</v>
      </c>
      <c r="AP55" s="21">
        <f>246328/344365*365</f>
        <v>261.08843813976449</v>
      </c>
      <c r="AQ55" s="21">
        <f>(250430-93478)/344365*365</f>
        <v>166.35685972732421</v>
      </c>
    </row>
    <row r="56" spans="1:43" x14ac:dyDescent="0.25">
      <c r="A56" s="8" t="s">
        <v>45</v>
      </c>
      <c r="B56" s="36" t="s">
        <v>88</v>
      </c>
      <c r="C56" s="28">
        <f t="shared" ref="C56:C57" si="99">95048*H56/F56</f>
        <v>16871.02</v>
      </c>
      <c r="D56" s="28">
        <f>101579*H56/F56</f>
        <v>18030.272499999999</v>
      </c>
      <c r="E56" s="28">
        <f t="shared" ref="E56:E57" si="100">107000*H56/F56</f>
        <v>18992.5</v>
      </c>
      <c r="F56" s="15">
        <v>80000</v>
      </c>
      <c r="G56" s="15">
        <f t="shared" si="97"/>
        <v>18992.5</v>
      </c>
      <c r="H56" s="15">
        <v>14200</v>
      </c>
      <c r="L56" s="16"/>
      <c r="M56" s="37">
        <f>22*7*5*52/2</f>
        <v>20020</v>
      </c>
      <c r="N56" s="15">
        <f>22*7*5*52/2</f>
        <v>20020</v>
      </c>
      <c r="O56" s="15">
        <f t="shared" si="88"/>
        <v>14200</v>
      </c>
      <c r="Q56" s="15">
        <f t="shared" si="89"/>
        <v>14200</v>
      </c>
      <c r="R56" s="15">
        <f>Q55+Q56+Q57</f>
        <v>53500</v>
      </c>
      <c r="T56" s="17" t="s">
        <v>89</v>
      </c>
      <c r="V56" s="8">
        <v>0</v>
      </c>
      <c r="X56" s="18">
        <f t="shared" si="90"/>
        <v>0</v>
      </c>
      <c r="Y56" s="18">
        <f t="shared" si="90"/>
        <v>0</v>
      </c>
      <c r="AA56" s="15">
        <v>39389</v>
      </c>
      <c r="AB56" s="15">
        <f t="shared" si="91"/>
        <v>676484.10167466663</v>
      </c>
      <c r="AC56" s="17">
        <v>0.30959999999999999</v>
      </c>
      <c r="AD56" s="15">
        <v>344364</v>
      </c>
      <c r="AE56" s="15">
        <v>389900</v>
      </c>
      <c r="AF56" s="17">
        <f t="shared" si="92"/>
        <v>0.13223217293329151</v>
      </c>
      <c r="AG56" s="15">
        <v>383753</v>
      </c>
      <c r="AH56" s="15">
        <v>393215</v>
      </c>
      <c r="AI56" s="17">
        <f t="shared" si="93"/>
        <v>2.4656484770151633E-2</v>
      </c>
      <c r="AJ56" s="15">
        <v>188311</v>
      </c>
      <c r="AK56" s="15">
        <v>235000</v>
      </c>
      <c r="AL56" s="17">
        <f t="shared" si="94"/>
        <v>0.24793559590252295</v>
      </c>
      <c r="AM56" s="20">
        <f t="shared" ref="AM56:AM57" si="101">383753-107000</f>
        <v>276753</v>
      </c>
      <c r="AN56" s="20">
        <f t="shared" ref="AN56:AN57" si="102">396015-80000</f>
        <v>316015</v>
      </c>
      <c r="AO56" s="17">
        <f t="shared" si="96"/>
        <v>0.14186657416541104</v>
      </c>
      <c r="AP56" s="21">
        <f t="shared" ref="AP56:AP57" si="103">246328/344365*365</f>
        <v>261.08843813976449</v>
      </c>
      <c r="AQ56" s="21">
        <f t="shared" ref="AQ56:AQ57" si="104">(250430-93478)/344365*365</f>
        <v>166.35685972732421</v>
      </c>
    </row>
    <row r="57" spans="1:43" x14ac:dyDescent="0.25">
      <c r="A57" s="8" t="s">
        <v>45</v>
      </c>
      <c r="B57" s="36" t="s">
        <v>90</v>
      </c>
      <c r="C57" s="28">
        <f t="shared" si="99"/>
        <v>29197.557499999999</v>
      </c>
      <c r="D57" s="28">
        <f>101579*H57/F57</f>
        <v>31203.799062499998</v>
      </c>
      <c r="E57" s="28">
        <f t="shared" si="100"/>
        <v>32869.0625</v>
      </c>
      <c r="F57" s="15">
        <v>80000</v>
      </c>
      <c r="G57" s="15">
        <f t="shared" si="97"/>
        <v>32869.0625</v>
      </c>
      <c r="H57" s="15">
        <v>24575</v>
      </c>
      <c r="L57" s="16">
        <v>1</v>
      </c>
      <c r="M57" s="37">
        <f>22*7*5*52/2*2/2</f>
        <v>20020</v>
      </c>
      <c r="N57" s="15">
        <f>22*7*5*52/2*2/2</f>
        <v>20020</v>
      </c>
      <c r="O57" s="15">
        <f t="shared" si="88"/>
        <v>20020</v>
      </c>
      <c r="Q57" s="15">
        <f t="shared" si="89"/>
        <v>20020</v>
      </c>
      <c r="R57" s="15">
        <f>Q55+Q56+Q57</f>
        <v>53500</v>
      </c>
      <c r="V57" s="8">
        <v>32000</v>
      </c>
      <c r="AA57" s="15">
        <v>39389</v>
      </c>
      <c r="AB57" s="15">
        <f t="shared" si="91"/>
        <v>676484.10167466663</v>
      </c>
      <c r="AC57" s="17">
        <v>0.30959999999999999</v>
      </c>
      <c r="AD57" s="15">
        <v>344364</v>
      </c>
      <c r="AE57" s="15">
        <v>389900</v>
      </c>
      <c r="AF57" s="17">
        <f t="shared" si="92"/>
        <v>0.13223217293329151</v>
      </c>
      <c r="AG57" s="15">
        <v>383753</v>
      </c>
      <c r="AH57" s="15">
        <v>393215</v>
      </c>
      <c r="AI57" s="17">
        <f t="shared" si="93"/>
        <v>2.4656484770151633E-2</v>
      </c>
      <c r="AJ57" s="15">
        <v>188311</v>
      </c>
      <c r="AK57" s="15">
        <v>235000</v>
      </c>
      <c r="AL57" s="17">
        <f t="shared" si="94"/>
        <v>0.24793559590252295</v>
      </c>
      <c r="AM57" s="20">
        <f t="shared" si="101"/>
        <v>276753</v>
      </c>
      <c r="AN57" s="20">
        <f t="shared" si="102"/>
        <v>316015</v>
      </c>
      <c r="AO57" s="17">
        <f t="shared" si="96"/>
        <v>0.14186657416541104</v>
      </c>
      <c r="AP57" s="21">
        <f t="shared" si="103"/>
        <v>261.08843813976449</v>
      </c>
      <c r="AQ57" s="21">
        <f t="shared" si="104"/>
        <v>166.35685972732421</v>
      </c>
    </row>
    <row r="58" spans="1:43" x14ac:dyDescent="0.25">
      <c r="A58" s="8" t="s">
        <v>45</v>
      </c>
      <c r="B58" s="36" t="s">
        <v>91</v>
      </c>
      <c r="C58" s="15">
        <v>30704</v>
      </c>
      <c r="D58" s="15">
        <v>31540</v>
      </c>
      <c r="E58" s="15">
        <v>31540</v>
      </c>
      <c r="F58" s="15">
        <v>31540</v>
      </c>
      <c r="G58" s="15">
        <v>31540</v>
      </c>
      <c r="H58" s="15">
        <v>31540</v>
      </c>
      <c r="L58" s="16"/>
      <c r="N58" s="15">
        <v>31540</v>
      </c>
      <c r="O58" s="15">
        <f t="shared" si="88"/>
        <v>31540</v>
      </c>
      <c r="Q58" s="15">
        <f t="shared" si="89"/>
        <v>31540</v>
      </c>
      <c r="R58" s="15">
        <f t="shared" ref="R58:R65" si="105">SUMIF(B:B,B58,Q:Q)</f>
        <v>31540</v>
      </c>
      <c r="V58" s="8"/>
      <c r="AB58" s="15">
        <f t="shared" si="91"/>
        <v>676484.10167466663</v>
      </c>
      <c r="AF58" s="17"/>
      <c r="AI58" s="17"/>
      <c r="AL58" s="17"/>
      <c r="AM58" s="20"/>
      <c r="AN58" s="20"/>
      <c r="AO58" s="17"/>
      <c r="AQ58" s="21"/>
    </row>
    <row r="59" spans="1:43" x14ac:dyDescent="0.25">
      <c r="A59" s="8" t="s">
        <v>45</v>
      </c>
      <c r="B59" s="36" t="s">
        <v>92</v>
      </c>
      <c r="C59" s="15">
        <v>500</v>
      </c>
      <c r="D59" s="15">
        <v>500</v>
      </c>
      <c r="E59" s="15">
        <v>500</v>
      </c>
      <c r="F59" s="15">
        <v>1500</v>
      </c>
      <c r="G59" s="15">
        <v>500</v>
      </c>
      <c r="H59" s="15">
        <v>1500</v>
      </c>
      <c r="L59" s="16"/>
      <c r="N59" s="15">
        <v>0</v>
      </c>
      <c r="O59" s="15">
        <f t="shared" si="88"/>
        <v>0</v>
      </c>
      <c r="Q59" s="15">
        <f t="shared" si="89"/>
        <v>0</v>
      </c>
      <c r="R59" s="15">
        <f t="shared" si="105"/>
        <v>0</v>
      </c>
      <c r="T59" s="17" t="s">
        <v>93</v>
      </c>
      <c r="V59" s="8"/>
      <c r="AB59" s="15">
        <f t="shared" si="91"/>
        <v>676484.10167466663</v>
      </c>
      <c r="AF59" s="17"/>
      <c r="AI59" s="17"/>
      <c r="AL59" s="17"/>
      <c r="AM59" s="20"/>
      <c r="AN59" s="20"/>
      <c r="AO59" s="17"/>
      <c r="AQ59" s="21"/>
    </row>
    <row r="60" spans="1:43" x14ac:dyDescent="0.25">
      <c r="A60" s="8" t="s">
        <v>45</v>
      </c>
      <c r="B60" s="36" t="s">
        <v>94</v>
      </c>
      <c r="C60" s="15">
        <v>1050</v>
      </c>
      <c r="D60" s="15">
        <v>2025</v>
      </c>
      <c r="E60" s="15">
        <v>2025</v>
      </c>
      <c r="F60" s="15">
        <v>2600</v>
      </c>
      <c r="G60" s="15">
        <v>2025</v>
      </c>
      <c r="H60" s="15">
        <v>2600</v>
      </c>
      <c r="L60" s="16"/>
      <c r="N60" s="15">
        <v>500</v>
      </c>
      <c r="O60" s="15">
        <f t="shared" si="88"/>
        <v>500</v>
      </c>
      <c r="Q60" s="15">
        <f t="shared" si="89"/>
        <v>500</v>
      </c>
      <c r="R60" s="15">
        <f t="shared" si="105"/>
        <v>500</v>
      </c>
      <c r="T60" s="17" t="s">
        <v>95</v>
      </c>
      <c r="V60" s="8"/>
      <c r="AB60" s="15">
        <f t="shared" si="91"/>
        <v>676484.10167466663</v>
      </c>
      <c r="AF60" s="17"/>
      <c r="AI60" s="17"/>
      <c r="AL60" s="17"/>
      <c r="AM60" s="20"/>
      <c r="AN60" s="20"/>
      <c r="AO60" s="17"/>
      <c r="AQ60" s="21"/>
    </row>
    <row r="61" spans="1:43" x14ac:dyDescent="0.25">
      <c r="A61" s="8" t="s">
        <v>45</v>
      </c>
      <c r="B61" s="36" t="s">
        <v>96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L61" s="16"/>
      <c r="N61" s="15">
        <v>0</v>
      </c>
      <c r="O61" s="15">
        <f t="shared" si="88"/>
        <v>0</v>
      </c>
      <c r="Q61" s="15">
        <f t="shared" si="89"/>
        <v>0</v>
      </c>
      <c r="R61" s="15">
        <f t="shared" si="105"/>
        <v>0</v>
      </c>
      <c r="T61" s="17" t="s">
        <v>97</v>
      </c>
      <c r="V61" s="8"/>
      <c r="AB61" s="15">
        <f t="shared" si="91"/>
        <v>676484.10167466663</v>
      </c>
      <c r="AF61" s="17"/>
      <c r="AI61" s="17"/>
      <c r="AL61" s="17"/>
      <c r="AM61" s="20"/>
      <c r="AN61" s="20"/>
      <c r="AO61" s="17"/>
      <c r="AQ61" s="21"/>
    </row>
    <row r="62" spans="1:43" x14ac:dyDescent="0.25">
      <c r="A62" s="8" t="s">
        <v>45</v>
      </c>
      <c r="B62" s="36" t="s">
        <v>98</v>
      </c>
      <c r="C62" s="15">
        <v>0</v>
      </c>
      <c r="D62" s="15">
        <v>1500</v>
      </c>
      <c r="E62" s="15">
        <v>1500</v>
      </c>
      <c r="F62" s="15">
        <v>6000</v>
      </c>
      <c r="G62" s="15">
        <v>1500</v>
      </c>
      <c r="H62" s="15">
        <v>6000</v>
      </c>
      <c r="L62" s="16"/>
      <c r="N62" s="15">
        <v>1500</v>
      </c>
      <c r="O62" s="15">
        <f t="shared" si="88"/>
        <v>1500</v>
      </c>
      <c r="Q62" s="15">
        <f t="shared" si="89"/>
        <v>1500</v>
      </c>
      <c r="R62" s="15">
        <f t="shared" si="105"/>
        <v>1500</v>
      </c>
      <c r="T62" s="17" t="s">
        <v>99</v>
      </c>
      <c r="V62" s="8"/>
      <c r="AB62" s="15">
        <f t="shared" si="91"/>
        <v>676484.10167466663</v>
      </c>
      <c r="AF62" s="17"/>
      <c r="AI62" s="17"/>
      <c r="AL62" s="17"/>
      <c r="AM62" s="20"/>
      <c r="AN62" s="20"/>
      <c r="AO62" s="17"/>
      <c r="AQ62" s="21"/>
    </row>
    <row r="63" spans="1:43" x14ac:dyDescent="0.25">
      <c r="A63" s="8" t="s">
        <v>45</v>
      </c>
      <c r="B63" s="36" t="s">
        <v>100</v>
      </c>
      <c r="D63" s="15">
        <v>3430.13</v>
      </c>
      <c r="E63" s="15">
        <v>3500</v>
      </c>
      <c r="F63" s="15">
        <v>3454.44</v>
      </c>
      <c r="G63" s="15">
        <v>3500</v>
      </c>
      <c r="H63" s="15">
        <v>3454</v>
      </c>
      <c r="L63" s="16"/>
      <c r="N63" s="15">
        <v>3454</v>
      </c>
      <c r="O63" s="15">
        <f t="shared" si="88"/>
        <v>3454</v>
      </c>
      <c r="Q63" s="15">
        <f t="shared" si="89"/>
        <v>3454</v>
      </c>
      <c r="R63" s="15">
        <f t="shared" si="105"/>
        <v>3454</v>
      </c>
      <c r="T63" s="17" t="s">
        <v>101</v>
      </c>
      <c r="V63" s="8"/>
      <c r="AB63" s="15">
        <f t="shared" si="91"/>
        <v>676484.10167466663</v>
      </c>
      <c r="AF63" s="17"/>
      <c r="AI63" s="17"/>
      <c r="AL63" s="17"/>
      <c r="AM63" s="20"/>
      <c r="AN63" s="20"/>
      <c r="AO63" s="17"/>
      <c r="AQ63" s="21"/>
    </row>
    <row r="64" spans="1:43" x14ac:dyDescent="0.25">
      <c r="A64" s="8" t="s">
        <v>45</v>
      </c>
      <c r="B64" s="36" t="s">
        <v>102</v>
      </c>
      <c r="C64" s="15">
        <v>500</v>
      </c>
      <c r="D64" s="15">
        <v>800</v>
      </c>
      <c r="E64" s="15">
        <v>800</v>
      </c>
      <c r="F64" s="15">
        <v>1000</v>
      </c>
      <c r="G64" s="15">
        <v>800</v>
      </c>
      <c r="H64" s="15">
        <v>1000</v>
      </c>
      <c r="L64" s="16"/>
      <c r="N64" s="15">
        <v>1000</v>
      </c>
      <c r="O64" s="15">
        <f t="shared" si="88"/>
        <v>1000</v>
      </c>
      <c r="Q64" s="15">
        <f t="shared" si="89"/>
        <v>1000</v>
      </c>
      <c r="R64" s="15">
        <f t="shared" si="105"/>
        <v>1000</v>
      </c>
      <c r="V64" s="8"/>
      <c r="AB64" s="15">
        <f t="shared" si="91"/>
        <v>676484.10167466663</v>
      </c>
      <c r="AF64" s="17"/>
      <c r="AI64" s="17"/>
      <c r="AL64" s="17"/>
      <c r="AM64" s="20"/>
      <c r="AN64" s="20"/>
      <c r="AO64" s="17"/>
      <c r="AQ64" s="21"/>
    </row>
    <row r="65" spans="1:43" x14ac:dyDescent="0.25">
      <c r="A65" s="8" t="s">
        <v>45</v>
      </c>
      <c r="B65" s="36" t="s">
        <v>103</v>
      </c>
      <c r="C65" s="15">
        <v>1000</v>
      </c>
      <c r="D65" s="15">
        <v>1000</v>
      </c>
      <c r="E65" s="15">
        <v>1000</v>
      </c>
      <c r="F65" s="15">
        <v>1000</v>
      </c>
      <c r="G65" s="15">
        <v>1000</v>
      </c>
      <c r="H65" s="15">
        <v>1000</v>
      </c>
      <c r="L65" s="16"/>
      <c r="N65" s="15">
        <v>1000</v>
      </c>
      <c r="O65" s="15">
        <f t="shared" si="88"/>
        <v>1000</v>
      </c>
      <c r="Q65" s="15">
        <f t="shared" si="89"/>
        <v>1000</v>
      </c>
      <c r="R65" s="15">
        <f t="shared" si="105"/>
        <v>1000</v>
      </c>
      <c r="V65" s="8"/>
      <c r="AB65" s="15">
        <f t="shared" si="91"/>
        <v>676484.10167466663</v>
      </c>
      <c r="AF65" s="17"/>
      <c r="AI65" s="17"/>
      <c r="AL65" s="17"/>
      <c r="AM65" s="20"/>
      <c r="AN65" s="20"/>
      <c r="AO65" s="17"/>
      <c r="AQ65" s="21"/>
    </row>
    <row r="66" spans="1:43" x14ac:dyDescent="0.25">
      <c r="A66" s="22" t="s">
        <v>57</v>
      </c>
      <c r="B66" s="22" t="s">
        <v>79</v>
      </c>
      <c r="C66" s="23">
        <f t="shared" ref="C66:H66" si="106">SUM(C51:C65)</f>
        <v>206402</v>
      </c>
      <c r="D66" s="23">
        <f t="shared" si="106"/>
        <v>235193.13</v>
      </c>
      <c r="E66" s="23">
        <f t="shared" si="106"/>
        <v>258707</v>
      </c>
      <c r="F66" s="23">
        <f t="shared" si="106"/>
        <v>414590.44</v>
      </c>
      <c r="G66" s="23">
        <f t="shared" si="106"/>
        <v>258707</v>
      </c>
      <c r="H66" s="23">
        <f t="shared" si="106"/>
        <v>254590</v>
      </c>
      <c r="I66" s="23">
        <f>SUM(I51:I65)</f>
        <v>90200</v>
      </c>
      <c r="J66" s="23"/>
      <c r="K66" s="23"/>
      <c r="L66" s="23"/>
      <c r="M66" s="38"/>
      <c r="N66" s="23">
        <f t="shared" ref="N66:P66" si="107">SUM(N51:N65)</f>
        <v>209119.7</v>
      </c>
      <c r="O66" s="23">
        <f t="shared" si="107"/>
        <v>199381</v>
      </c>
      <c r="P66" s="23">
        <f t="shared" si="107"/>
        <v>-740</v>
      </c>
      <c r="Q66" s="23">
        <f>SUM(Q51:Q65)</f>
        <v>198641</v>
      </c>
      <c r="R66" s="23">
        <f>SUM(R51:R65)</f>
        <v>305641</v>
      </c>
      <c r="S66" s="24">
        <f>IF(E66&gt;0,(F66-E66)/E66,"")</f>
        <v>0.60254821091041222</v>
      </c>
      <c r="T66" s="24"/>
      <c r="U66" s="25">
        <f>SUM(U51:U54)</f>
        <v>127015</v>
      </c>
      <c r="V66" s="25">
        <f>SUM(V51:V54)</f>
        <v>150188</v>
      </c>
      <c r="W66" s="25"/>
      <c r="X66" s="25">
        <f>SUM(X51:X56)</f>
        <v>127015</v>
      </c>
      <c r="Y66" s="25">
        <f>SUM(Y51:Y56)</f>
        <v>150188</v>
      </c>
      <c r="Z66" s="24">
        <f>IF(U66&gt;0,(V66-U66)/U66,"")</f>
        <v>0.18244301854111719</v>
      </c>
      <c r="AA66" s="23">
        <f>SUM(AA51:AA54)</f>
        <v>11554</v>
      </c>
      <c r="AB66" s="23">
        <f t="shared" ref="AB66" si="108">SUM(AB51:AB54)</f>
        <v>879181.91201749991</v>
      </c>
      <c r="AC66" s="24"/>
      <c r="AD66" s="23">
        <f>SUM(AD51:AD55)</f>
        <v>658750</v>
      </c>
      <c r="AE66" s="23">
        <f>SUM(AE51:AE55)</f>
        <v>708199</v>
      </c>
      <c r="AF66" s="24">
        <f t="shared" si="92"/>
        <v>7.5064895635673617E-2</v>
      </c>
      <c r="AG66" s="23">
        <f>SUM(AG51:AG55)</f>
        <v>709386</v>
      </c>
      <c r="AH66" s="23">
        <f>SUM(AH51:AH55)</f>
        <v>712814</v>
      </c>
      <c r="AI66" s="24">
        <f t="shared" si="93"/>
        <v>4.8323479741635726E-3</v>
      </c>
      <c r="AJ66" s="23">
        <f>SUM(AJ51:AJ55)</f>
        <v>397549</v>
      </c>
      <c r="AK66" s="23">
        <f>SUM(AK51:AK55)</f>
        <v>445979</v>
      </c>
      <c r="AL66" s="24">
        <f t="shared" si="94"/>
        <v>0.12182146100229155</v>
      </c>
      <c r="AM66" s="20">
        <f>AG66-E66</f>
        <v>450679</v>
      </c>
      <c r="AN66" s="20">
        <f>AH66-F66</f>
        <v>298223.56</v>
      </c>
      <c r="AO66" s="24">
        <f t="shared" si="96"/>
        <v>-0.3382794405774398</v>
      </c>
      <c r="AP66" s="26"/>
      <c r="AQ66" s="21"/>
    </row>
    <row r="67" spans="1:43" x14ac:dyDescent="0.25">
      <c r="O67" s="11" t="str">
        <f>IF(ROUNDDOWN((O66-E66)/E66*100,0)&gt;0,"+"&amp;ROUNDDOWN((O66-E66)/E66*100,0)&amp;"% /2025",ROUNDDOWN((O66-E66)/E66*100,0)&amp;"% /2025")</f>
        <v>-22% /2025</v>
      </c>
      <c r="AF67" s="17"/>
      <c r="AI67" s="17"/>
      <c r="AL67" s="17"/>
      <c r="AM67" s="17"/>
      <c r="AN67" s="17"/>
      <c r="AO67" s="17"/>
      <c r="AQ67" s="21"/>
    </row>
    <row r="68" spans="1:43" x14ac:dyDescent="0.25">
      <c r="A68" s="30" t="s">
        <v>104</v>
      </c>
      <c r="B68" s="30" t="s">
        <v>105</v>
      </c>
      <c r="C68" s="31">
        <f>C9+C18+C49+C66</f>
        <v>1548902</v>
      </c>
      <c r="D68" s="31">
        <f>D9+D18+D49+D66</f>
        <v>1769719.13</v>
      </c>
      <c r="E68" s="31">
        <f>E9+E18+E49+E66</f>
        <v>1781719</v>
      </c>
      <c r="F68" s="31">
        <f>F9+F18+F49+F66</f>
        <v>2209906.44</v>
      </c>
      <c r="G68" s="31">
        <f>G66+G49+G41+G29+G18+G9</f>
        <v>1925561</v>
      </c>
      <c r="H68" s="31">
        <f>H66+H49+H41+H29+H18+H9</f>
        <v>2230718</v>
      </c>
      <c r="I68" s="31"/>
      <c r="J68" s="31"/>
      <c r="K68" s="31"/>
      <c r="L68" s="31">
        <f>L9+L18+L49+L66</f>
        <v>12.437886499999999</v>
      </c>
      <c r="M68" s="40"/>
      <c r="N68" s="31">
        <f>N66+N49+N41+N29+N18+N9</f>
        <v>2088466.472370619</v>
      </c>
      <c r="O68" s="31">
        <f>O66+O49+O41+O29+O18+O9</f>
        <v>1878795.8323493402</v>
      </c>
      <c r="P68" s="31">
        <f>P66+P49+P41+P29+P18+P9</f>
        <v>-740</v>
      </c>
      <c r="Q68" s="31">
        <f>Q66+Q49+Q41+Q29+Q18+Q9</f>
        <v>1878055.8323493402</v>
      </c>
      <c r="R68" s="31">
        <f>R66+R49+R41+R29+R18+R9</f>
        <v>4541224.855298195</v>
      </c>
      <c r="S68" s="32">
        <f>IF(E68&gt;0,(F68-E68)/E68,"")</f>
        <v>0.24032265469470773</v>
      </c>
      <c r="T68" s="32"/>
      <c r="U68" s="33">
        <f>U66+U49+U41++U29+U18+U9</f>
        <v>850419</v>
      </c>
      <c r="V68" s="33">
        <f>V66+V49+V41++V29+V18+V9</f>
        <v>857986</v>
      </c>
      <c r="W68" s="33"/>
      <c r="X68" s="33">
        <f>X66+X49+X41++X29+X18+X9</f>
        <v>1760112</v>
      </c>
      <c r="Y68" s="33">
        <f>Y66+Y49+Y41++Y29+Y18+Y9</f>
        <v>1734444</v>
      </c>
      <c r="Z68" s="32">
        <f>IF(U68&gt;0,(V68-U68)/U68,"")</f>
        <v>8.8979667669701647E-3</v>
      </c>
      <c r="AA68" s="31" t="e">
        <f>AA66+AA49+AA41+AA29+AA18+AA9</f>
        <v>#REF!</v>
      </c>
      <c r="AB68" s="31">
        <f>AB66+AB49+AB41+AB29+AB18+AB9</f>
        <v>11228303.606448397</v>
      </c>
      <c r="AD68" s="31">
        <f>AD9+AD18+AD49+AD66</f>
        <v>5440407</v>
      </c>
      <c r="AE68" s="31">
        <f>AE9+AE18+AE49+AE66</f>
        <v>5713658</v>
      </c>
      <c r="AF68" s="32">
        <f t="shared" si="92"/>
        <v>5.0226205502639787E-2</v>
      </c>
      <c r="AG68" s="31">
        <f>AG9+AG18+AG49+AG66</f>
        <v>5461888</v>
      </c>
      <c r="AH68" s="31">
        <f>AH9+AH18+AH49+AH66</f>
        <v>5619170</v>
      </c>
      <c r="AI68" s="32">
        <f t="shared" si="93"/>
        <v>2.8796269714794591E-2</v>
      </c>
      <c r="AJ68" s="31">
        <f>AJ9+AJ18+AJ49+AJ66</f>
        <v>4311576</v>
      </c>
      <c r="AK68" s="31">
        <f>AK9+AK18+AK49+AK66</f>
        <v>4430375</v>
      </c>
      <c r="AL68" s="32">
        <f t="shared" si="94"/>
        <v>2.7553497839305163E-2</v>
      </c>
      <c r="AM68" s="20">
        <f>AG68-E68</f>
        <v>3680169</v>
      </c>
      <c r="AN68" s="20">
        <f>AH68-F68</f>
        <v>3409263.56</v>
      </c>
      <c r="AO68" s="32">
        <f t="shared" si="96"/>
        <v>-7.3612228134088395E-2</v>
      </c>
      <c r="AP68" s="21">
        <f>AVERAGE(AP3:AP67)</f>
        <v>107.93488843855461</v>
      </c>
      <c r="AQ68" s="21">
        <f>AVERAGE(AQ3:AQ67)</f>
        <v>134.88263283766602</v>
      </c>
    </row>
    <row r="69" spans="1:43" x14ac:dyDescent="0.25">
      <c r="B69" s="8" t="s">
        <v>106</v>
      </c>
      <c r="C69" s="15">
        <v>1942512</v>
      </c>
      <c r="D69" s="15">
        <v>2212395</v>
      </c>
      <c r="E69" s="15">
        <v>2032474</v>
      </c>
      <c r="F69" s="15">
        <v>2103624</v>
      </c>
      <c r="G69" s="15">
        <f>G68-E68</f>
        <v>143842</v>
      </c>
      <c r="H69" s="15">
        <f>H68-E68</f>
        <v>448999</v>
      </c>
      <c r="N69" s="15">
        <f>N68-E68</f>
        <v>306747.47237061895</v>
      </c>
      <c r="O69" s="15">
        <f>O68-E68</f>
        <v>97076.832349340199</v>
      </c>
      <c r="Q69" s="15">
        <f>Q68-E68</f>
        <v>96336.832349340199</v>
      </c>
    </row>
    <row r="70" spans="1:43" x14ac:dyDescent="0.25">
      <c r="O70" s="15">
        <v>25000</v>
      </c>
    </row>
    <row r="71" spans="1:43" x14ac:dyDescent="0.25">
      <c r="N71" s="8">
        <v>1</v>
      </c>
      <c r="O71" s="8">
        <v>2</v>
      </c>
      <c r="P71" s="15" t="s">
        <v>107</v>
      </c>
      <c r="Q71" s="15" t="s">
        <v>108</v>
      </c>
      <c r="R71" s="15" t="s">
        <v>109</v>
      </c>
    </row>
    <row r="72" spans="1:43" x14ac:dyDescent="0.25">
      <c r="B72" s="8">
        <v>4</v>
      </c>
      <c r="G72" s="15" t="s">
        <v>110</v>
      </c>
      <c r="N72" s="8">
        <f>22*8*36</f>
        <v>6336</v>
      </c>
      <c r="O72" s="8">
        <f>N72*2</f>
        <v>12672</v>
      </c>
      <c r="P72" s="15">
        <v>24</v>
      </c>
      <c r="Q72" s="27">
        <f>O72/(24*36*8)</f>
        <v>1.8333333333333333</v>
      </c>
      <c r="R72" s="15">
        <f>O72/3</f>
        <v>4224</v>
      </c>
    </row>
    <row r="73" spans="1:43" x14ac:dyDescent="0.25">
      <c r="G73" s="15" t="s">
        <v>111</v>
      </c>
      <c r="N73" s="8">
        <f>22*50*13</f>
        <v>14300</v>
      </c>
      <c r="O73" s="8">
        <f>22*50*13*2</f>
        <v>28600</v>
      </c>
      <c r="P73" s="15">
        <v>20</v>
      </c>
      <c r="Q73" s="27">
        <f>O73/(24*13*50)</f>
        <v>1.8333333333333333</v>
      </c>
      <c r="R73" s="27">
        <f>O73/3</f>
        <v>9533.3333333333339</v>
      </c>
    </row>
    <row r="74" spans="1:43" x14ac:dyDescent="0.25">
      <c r="G74" s="15" t="s">
        <v>112</v>
      </c>
      <c r="N74" s="8">
        <f>80*5*13</f>
        <v>5200</v>
      </c>
      <c r="O74" s="8"/>
      <c r="P74" s="15">
        <v>10</v>
      </c>
      <c r="Q74" s="27">
        <f>N74/(P74*13*50)</f>
        <v>0.8</v>
      </c>
      <c r="V74" s="18">
        <v>53500</v>
      </c>
    </row>
    <row r="75" spans="1:43" x14ac:dyDescent="0.25">
      <c r="G75" s="15" t="s">
        <v>113</v>
      </c>
      <c r="N75" s="8">
        <f>22*50*47</f>
        <v>51700</v>
      </c>
      <c r="O75" s="8">
        <f>N75*2</f>
        <v>103400</v>
      </c>
      <c r="R75" s="15">
        <f>O75/3</f>
        <v>34466.666666666664</v>
      </c>
    </row>
    <row r="76" spans="1:43" x14ac:dyDescent="0.25">
      <c r="G76" s="15" t="s">
        <v>114</v>
      </c>
      <c r="N76" s="15">
        <f>22*10*36</f>
        <v>7920</v>
      </c>
      <c r="O76" s="15">
        <f>N76*2</f>
        <v>15840</v>
      </c>
      <c r="R76" s="15">
        <f>O76/3</f>
        <v>5280</v>
      </c>
    </row>
    <row r="77" spans="1:43" x14ac:dyDescent="0.25">
      <c r="G77" s="15" t="s">
        <v>115</v>
      </c>
    </row>
    <row r="78" spans="1:43" x14ac:dyDescent="0.25">
      <c r="D78" s="8">
        <v>2022</v>
      </c>
      <c r="E78" s="8">
        <v>2023</v>
      </c>
      <c r="F78" s="8">
        <v>2024</v>
      </c>
      <c r="G78" s="8">
        <v>2025</v>
      </c>
      <c r="H78" s="8">
        <v>2026</v>
      </c>
    </row>
    <row r="79" spans="1:43" x14ac:dyDescent="0.25">
      <c r="C79" s="15" t="s">
        <v>116</v>
      </c>
      <c r="D79" s="15">
        <f>1585696-92000</f>
        <v>1493696</v>
      </c>
      <c r="E79" s="15">
        <v>1942512</v>
      </c>
      <c r="F79" s="15">
        <v>2212395</v>
      </c>
      <c r="G79" s="15">
        <v>2032474</v>
      </c>
      <c r="H79" s="15">
        <v>2103624</v>
      </c>
    </row>
    <row r="80" spans="1:43" x14ac:dyDescent="0.25">
      <c r="C80" s="15" t="s">
        <v>117</v>
      </c>
      <c r="D80" s="15">
        <f>1295713-92000</f>
        <v>1203713</v>
      </c>
      <c r="E80" s="15">
        <v>1628820</v>
      </c>
      <c r="F80" s="15">
        <v>1773445</v>
      </c>
      <c r="G80" s="15">
        <v>1777696</v>
      </c>
      <c r="S80" s="19"/>
    </row>
    <row r="81" spans="3:7" x14ac:dyDescent="0.25">
      <c r="C81" s="15" t="s">
        <v>118</v>
      </c>
      <c r="E81" s="15">
        <v>1433894</v>
      </c>
      <c r="F81" s="15">
        <v>965052</v>
      </c>
      <c r="G81" s="15">
        <v>888052</v>
      </c>
    </row>
  </sheetData>
  <conditionalFormatting sqref="O3:O65">
    <cfRule type="expression" dxfId="7" priority="3">
      <formula>O3&gt;=H3</formula>
    </cfRule>
    <cfRule type="expression" dxfId="6" priority="4">
      <formula>O3&lt;H3</formula>
    </cfRule>
  </conditionalFormatting>
  <conditionalFormatting sqref="O67">
    <cfRule type="expression" dxfId="5" priority="1">
      <formula>O67&gt;=H67</formula>
    </cfRule>
    <cfRule type="expression" dxfId="4" priority="2">
      <formula>O67&lt;H67</formula>
    </cfRule>
  </conditionalFormatting>
  <conditionalFormatting sqref="S3:T52 S53 S54:T68 AC3:AC68 AF3:AF68 AL3:AL68">
    <cfRule type="colorScale" priority="6">
      <colorScale>
        <cfvo type="num" val="-0.05"/>
        <cfvo type="num" val="0"/>
        <cfvo type="num" val="0.05"/>
        <color rgb="FF63BE7B"/>
        <color rgb="FFFCFCFF"/>
        <color rgb="FFF8696B"/>
      </colorScale>
    </cfRule>
  </conditionalFormatting>
  <conditionalFormatting sqref="Z2:Z68">
    <cfRule type="expression" dxfId="3" priority="7" stopIfTrue="1">
      <formula>AND(ISNUMBER($Z2), $Z2&gt;0)</formula>
    </cfRule>
    <cfRule type="expression" dxfId="2" priority="8" stopIfTrue="1">
      <formula>AND(ISNUMBER($Z2), $Z2&lt;0)</formula>
    </cfRule>
  </conditionalFormatting>
  <conditionalFormatting sqref="Z3:Z68 AI3:AI68 AO3:AO68">
    <cfRule type="colorScale" priority="5">
      <colorScale>
        <cfvo type="num" val="0.05"/>
        <cfvo type="percentile" val="50"/>
        <cfvo type="num" val="0.05"/>
        <color rgb="FFF8696B"/>
        <color rgb="FFFCFCFF"/>
        <color rgb="FF63BE7B"/>
      </colorScale>
    </cfRule>
  </conditionalFormatting>
  <conditionalFormatting sqref="AC2">
    <cfRule type="expression" dxfId="1" priority="9" stopIfTrue="1">
      <formula>AND(ISNUMBER($AC2), $AC2&gt;0)</formula>
    </cfRule>
    <cfRule type="expression" dxfId="0" priority="10" stopIfTrue="1">
      <formula>AND(ISNUMBER($AC2), $AC2&lt;0)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0936-A21A-4D3C-B598-D2224272A212}">
  <dimension ref="A1:F2"/>
  <sheetViews>
    <sheetView tabSelected="1" workbookViewId="0">
      <selection activeCell="M2" sqref="M2"/>
    </sheetView>
  </sheetViews>
  <sheetFormatPr baseColWidth="10" defaultRowHeight="15" x14ac:dyDescent="0.25"/>
  <cols>
    <col min="1" max="1" width="11.42578125" style="41"/>
    <col min="2" max="2" width="14.42578125" style="41" bestFit="1" customWidth="1"/>
    <col min="3" max="3" width="46.5703125" style="41" bestFit="1" customWidth="1"/>
    <col min="4" max="4" width="47.28515625" style="41" bestFit="1" customWidth="1"/>
    <col min="5" max="16384" width="11.42578125" style="41"/>
  </cols>
  <sheetData>
    <row r="1" spans="1:6" x14ac:dyDescent="0.25">
      <c r="B1" s="41" t="s">
        <v>122</v>
      </c>
      <c r="C1" s="41" t="s">
        <v>123</v>
      </c>
      <c r="D1" s="41" t="s">
        <v>124</v>
      </c>
      <c r="E1" s="41" t="s">
        <v>123</v>
      </c>
      <c r="F1" s="41" t="s">
        <v>125</v>
      </c>
    </row>
    <row r="2" spans="1:6" ht="150" x14ac:dyDescent="0.25">
      <c r="A2" s="41" t="s">
        <v>121</v>
      </c>
      <c r="B2" s="42" t="s">
        <v>128</v>
      </c>
      <c r="C2" s="41" t="s">
        <v>126</v>
      </c>
      <c r="D2" s="4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Jacquiot</dc:creator>
  <cp:lastModifiedBy>Maxime Jacquiot</cp:lastModifiedBy>
  <dcterms:created xsi:type="dcterms:W3CDTF">2015-06-05T18:19:34Z</dcterms:created>
  <dcterms:modified xsi:type="dcterms:W3CDTF">2026-06-17T10:27:26Z</dcterms:modified>
</cp:coreProperties>
</file>