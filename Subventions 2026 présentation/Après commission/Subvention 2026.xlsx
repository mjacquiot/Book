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jacquiot\Documents\Tests index.html\Subventions 2026 présentation\Après commission\"/>
    </mc:Choice>
  </mc:AlternateContent>
  <xr:revisionPtr revIDLastSave="0" documentId="13_ncr:1_{469F0685-D8E8-48F7-A6B6-137F1C7D7E95}" xr6:coauthVersionLast="47" xr6:coauthVersionMax="47" xr10:uidLastSave="{00000000-0000-0000-0000-000000000000}"/>
  <bookViews>
    <workbookView xWindow="45972" yWindow="2808" windowWidth="23256" windowHeight="12456" activeTab="1" xr2:uid="{00000000-000D-0000-FFFF-FFFF00000000}"/>
  </bookViews>
  <sheets>
    <sheet name="Feuil1" sheetId="1" r:id="rId1"/>
    <sheet name="Explic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5" i="2" l="1"/>
  <c r="V47" i="2"/>
  <c r="V44" i="2"/>
  <c r="V45" i="2"/>
  <c r="V59" i="2"/>
  <c r="V60" i="2"/>
  <c r="V61" i="2"/>
  <c r="V62" i="2"/>
  <c r="V63" i="2"/>
  <c r="V64" i="2"/>
  <c r="V65" i="2"/>
  <c r="V66" i="2"/>
  <c r="V67" i="2"/>
  <c r="V68" i="2"/>
  <c r="V69" i="2"/>
  <c r="V70" i="2"/>
  <c r="R54" i="2"/>
  <c r="D80" i="1"/>
  <c r="D79" i="1"/>
  <c r="O76" i="1"/>
  <c r="R76" i="1" s="1"/>
  <c r="N76" i="1"/>
  <c r="N75" i="1"/>
  <c r="O75" i="1" s="1"/>
  <c r="R75" i="1" s="1"/>
  <c r="N74" i="1"/>
  <c r="Q74" i="1" s="1"/>
  <c r="R73" i="1"/>
  <c r="Q73" i="1"/>
  <c r="O73" i="1"/>
  <c r="N73" i="1"/>
  <c r="O72" i="1"/>
  <c r="R72" i="1" s="1"/>
  <c r="N72" i="1"/>
  <c r="AK66" i="1"/>
  <c r="AL66" i="1" s="1"/>
  <c r="AJ66" i="1"/>
  <c r="AH66" i="1"/>
  <c r="AI66" i="1" s="1"/>
  <c r="AG66" i="1"/>
  <c r="AE66" i="1"/>
  <c r="AF66" i="1" s="1"/>
  <c r="AD66" i="1"/>
  <c r="AA66" i="1"/>
  <c r="P66" i="1"/>
  <c r="P68" i="1" s="1"/>
  <c r="I66" i="1"/>
  <c r="F66" i="1"/>
  <c r="O65" i="1"/>
  <c r="Q65" i="1" s="1"/>
  <c r="R65" i="1" s="1"/>
  <c r="O64" i="1"/>
  <c r="Q64" i="1" s="1"/>
  <c r="R64" i="1" s="1"/>
  <c r="O63" i="1"/>
  <c r="Q63" i="1" s="1"/>
  <c r="R63" i="1" s="1"/>
  <c r="O62" i="1"/>
  <c r="Q62" i="1" s="1"/>
  <c r="R62" i="1" s="1"/>
  <c r="O61" i="1"/>
  <c r="Q61" i="1" s="1"/>
  <c r="R61" i="1" s="1"/>
  <c r="O60" i="1"/>
  <c r="Q60" i="1" s="1"/>
  <c r="R60" i="1" s="1"/>
  <c r="O59" i="1"/>
  <c r="Q59" i="1" s="1"/>
  <c r="R59" i="1" s="1"/>
  <c r="O58" i="1"/>
  <c r="Q58" i="1" s="1"/>
  <c r="R58" i="1" s="1"/>
  <c r="AQ57" i="1"/>
  <c r="AP57" i="1"/>
  <c r="AN57" i="1"/>
  <c r="AO57" i="1" s="1"/>
  <c r="AM57" i="1"/>
  <c r="AL57" i="1"/>
  <c r="AI57" i="1"/>
  <c r="AF57" i="1"/>
  <c r="N57" i="1"/>
  <c r="O57" i="1" s="1"/>
  <c r="Q57" i="1" s="1"/>
  <c r="M57" i="1"/>
  <c r="E57" i="1"/>
  <c r="G57" i="1" s="1"/>
  <c r="D57" i="1"/>
  <c r="C57" i="1"/>
  <c r="AQ56" i="1"/>
  <c r="AP56" i="1"/>
  <c r="AN56" i="1"/>
  <c r="AO56" i="1" s="1"/>
  <c r="AM56" i="1"/>
  <c r="AL56" i="1"/>
  <c r="AI56" i="1"/>
  <c r="AF56" i="1"/>
  <c r="Y56" i="1"/>
  <c r="X56" i="1"/>
  <c r="N56" i="1"/>
  <c r="O56" i="1" s="1"/>
  <c r="Q56" i="1" s="1"/>
  <c r="M56" i="1"/>
  <c r="G56" i="1"/>
  <c r="E56" i="1"/>
  <c r="D56" i="1"/>
  <c r="C56" i="1"/>
  <c r="AQ55" i="1"/>
  <c r="AQ68" i="1" s="1"/>
  <c r="AP55" i="1"/>
  <c r="AP68" i="1" s="1"/>
  <c r="AN55" i="1"/>
  <c r="AO55" i="1" s="1"/>
  <c r="AM55" i="1"/>
  <c r="AL55" i="1"/>
  <c r="AI55" i="1"/>
  <c r="AF55" i="1"/>
  <c r="Y55" i="1"/>
  <c r="X55" i="1"/>
  <c r="N55" i="1"/>
  <c r="O55" i="1" s="1"/>
  <c r="Q55" i="1" s="1"/>
  <c r="M55" i="1"/>
  <c r="G55" i="1"/>
  <c r="E55" i="1"/>
  <c r="E66" i="1" s="1"/>
  <c r="S66" i="1" s="1"/>
  <c r="D55" i="1"/>
  <c r="D66" i="1" s="1"/>
  <c r="C55" i="1"/>
  <c r="C66" i="1" s="1"/>
  <c r="AN54" i="1"/>
  <c r="AM54" i="1"/>
  <c r="AO54" i="1" s="1"/>
  <c r="AL54" i="1"/>
  <c r="AI54" i="1"/>
  <c r="AF54" i="1"/>
  <c r="Z54" i="1"/>
  <c r="Y54" i="1"/>
  <c r="X54" i="1"/>
  <c r="L54" i="1"/>
  <c r="N54" i="1" s="1"/>
  <c r="O54" i="1" s="1"/>
  <c r="Q54" i="1" s="1"/>
  <c r="R54" i="1" s="1"/>
  <c r="H54" i="1"/>
  <c r="G54" i="1"/>
  <c r="AN53" i="1"/>
  <c r="AO53" i="1" s="1"/>
  <c r="AM53" i="1"/>
  <c r="AL53" i="1"/>
  <c r="AI53" i="1"/>
  <c r="AF53" i="1"/>
  <c r="Z53" i="1"/>
  <c r="Y53" i="1"/>
  <c r="X53" i="1"/>
  <c r="N53" i="1"/>
  <c r="O53" i="1" s="1"/>
  <c r="Q53" i="1" s="1"/>
  <c r="L53" i="1"/>
  <c r="H53" i="1"/>
  <c r="G53" i="1"/>
  <c r="AN52" i="1"/>
  <c r="AO52" i="1" s="1"/>
  <c r="AM52" i="1"/>
  <c r="AL52" i="1"/>
  <c r="AI52" i="1"/>
  <c r="AF52" i="1"/>
  <c r="Z52" i="1"/>
  <c r="Y52" i="1"/>
  <c r="X52" i="1"/>
  <c r="N52" i="1"/>
  <c r="O52" i="1" s="1"/>
  <c r="Q52" i="1" s="1"/>
  <c r="R52" i="1" s="1"/>
  <c r="L52" i="1"/>
  <c r="H52" i="1"/>
  <c r="G52" i="1"/>
  <c r="AO51" i="1"/>
  <c r="AN51" i="1"/>
  <c r="AM51" i="1"/>
  <c r="AL51" i="1"/>
  <c r="AI51" i="1"/>
  <c r="AF51" i="1"/>
  <c r="Z51" i="1"/>
  <c r="Y51" i="1"/>
  <c r="Y66" i="1" s="1"/>
  <c r="X51" i="1"/>
  <c r="X66" i="1" s="1"/>
  <c r="V51" i="1"/>
  <c r="V66" i="1" s="1"/>
  <c r="U51" i="1"/>
  <c r="U66" i="1" s="1"/>
  <c r="L51" i="1"/>
  <c r="N51" i="1" s="1"/>
  <c r="H51" i="1"/>
  <c r="H66" i="1" s="1"/>
  <c r="G51" i="1"/>
  <c r="G66" i="1" s="1"/>
  <c r="AK49" i="1"/>
  <c r="AL49" i="1" s="1"/>
  <c r="AJ49" i="1"/>
  <c r="AH49" i="1"/>
  <c r="AI49" i="1" s="1"/>
  <c r="AG49" i="1"/>
  <c r="AM49" i="1" s="1"/>
  <c r="AE49" i="1"/>
  <c r="AD49" i="1"/>
  <c r="AF49" i="1" s="1"/>
  <c r="U49" i="1"/>
  <c r="P49" i="1"/>
  <c r="I49" i="1"/>
  <c r="F49" i="1"/>
  <c r="AN49" i="1" s="1"/>
  <c r="AO49" i="1" s="1"/>
  <c r="E49" i="1"/>
  <c r="D49" i="1"/>
  <c r="C49" i="1"/>
  <c r="AO48" i="1"/>
  <c r="AN48" i="1"/>
  <c r="AM48" i="1"/>
  <c r="AL48" i="1"/>
  <c r="AI48" i="1"/>
  <c r="AF48" i="1"/>
  <c r="Z48" i="1"/>
  <c r="Y48" i="1"/>
  <c r="X48" i="1"/>
  <c r="M48" i="1"/>
  <c r="L48" i="1"/>
  <c r="N48" i="1" s="1"/>
  <c r="O48" i="1" s="1"/>
  <c r="Q48" i="1" s="1"/>
  <c r="H48" i="1"/>
  <c r="G48" i="1"/>
  <c r="AN47" i="1"/>
  <c r="AO47" i="1" s="1"/>
  <c r="AM47" i="1"/>
  <c r="AL47" i="1"/>
  <c r="AI47" i="1"/>
  <c r="AF47" i="1"/>
  <c r="Z47" i="1"/>
  <c r="Y47" i="1"/>
  <c r="X47" i="1"/>
  <c r="M47" i="1"/>
  <c r="L47" i="1"/>
  <c r="N47" i="1" s="1"/>
  <c r="O47" i="1" s="1"/>
  <c r="Q47" i="1" s="1"/>
  <c r="H47" i="1"/>
  <c r="G47" i="1"/>
  <c r="AN46" i="1"/>
  <c r="AM46" i="1"/>
  <c r="AO46" i="1" s="1"/>
  <c r="AL46" i="1"/>
  <c r="AI46" i="1"/>
  <c r="AF46" i="1"/>
  <c r="Z46" i="1"/>
  <c r="Y46" i="1"/>
  <c r="X46" i="1"/>
  <c r="O46" i="1"/>
  <c r="Q46" i="1" s="1"/>
  <c r="AB46" i="1" s="1"/>
  <c r="M46" i="1"/>
  <c r="N46" i="1" s="1"/>
  <c r="L46" i="1"/>
  <c r="H46" i="1"/>
  <c r="G46" i="1"/>
  <c r="AN45" i="1"/>
  <c r="AM45" i="1"/>
  <c r="AO45" i="1" s="1"/>
  <c r="AL45" i="1"/>
  <c r="AI45" i="1"/>
  <c r="AF45" i="1"/>
  <c r="Z45" i="1"/>
  <c r="Y45" i="1"/>
  <c r="X45" i="1"/>
  <c r="M45" i="1"/>
  <c r="N45" i="1" s="1"/>
  <c r="O45" i="1" s="1"/>
  <c r="Q45" i="1" s="1"/>
  <c r="L45" i="1"/>
  <c r="H45" i="1"/>
  <c r="G45" i="1"/>
  <c r="AN44" i="1"/>
  <c r="AM44" i="1"/>
  <c r="AO44" i="1" s="1"/>
  <c r="AL44" i="1"/>
  <c r="AI44" i="1"/>
  <c r="AF44" i="1"/>
  <c r="AA44" i="1"/>
  <c r="Z44" i="1"/>
  <c r="Y44" i="1"/>
  <c r="X44" i="1"/>
  <c r="M44" i="1"/>
  <c r="N44" i="1" s="1"/>
  <c r="O44" i="1" s="1"/>
  <c r="Q44" i="1" s="1"/>
  <c r="L44" i="1"/>
  <c r="H44" i="1"/>
  <c r="G44" i="1"/>
  <c r="AN43" i="1"/>
  <c r="AO43" i="1" s="1"/>
  <c r="AM43" i="1"/>
  <c r="AL43" i="1"/>
  <c r="AI43" i="1"/>
  <c r="AF43" i="1"/>
  <c r="Z43" i="1"/>
  <c r="X43" i="1"/>
  <c r="X49" i="1" s="1"/>
  <c r="V43" i="1"/>
  <c r="Y43" i="1" s="1"/>
  <c r="Y49" i="1" s="1"/>
  <c r="M43" i="1"/>
  <c r="H43" i="1"/>
  <c r="H49" i="1" s="1"/>
  <c r="G43" i="1"/>
  <c r="AN41" i="1"/>
  <c r="AL41" i="1"/>
  <c r="AK41" i="1"/>
  <c r="AJ41" i="1"/>
  <c r="AH41" i="1"/>
  <c r="AG41" i="1"/>
  <c r="AE41" i="1"/>
  <c r="AD41" i="1"/>
  <c r="AF41" i="1" s="1"/>
  <c r="Z41" i="1"/>
  <c r="V41" i="1"/>
  <c r="U41" i="1"/>
  <c r="S41" i="1"/>
  <c r="P41" i="1"/>
  <c r="I41" i="1"/>
  <c r="F41" i="1"/>
  <c r="E41" i="1"/>
  <c r="D41" i="1"/>
  <c r="C41" i="1"/>
  <c r="AO40" i="1"/>
  <c r="AN40" i="1"/>
  <c r="AM40" i="1"/>
  <c r="AL40" i="1"/>
  <c r="AI40" i="1"/>
  <c r="AF40" i="1"/>
  <c r="Z40" i="1"/>
  <c r="N40" i="1"/>
  <c r="L40" i="1"/>
  <c r="H40" i="1"/>
  <c r="AN39" i="1"/>
  <c r="AO39" i="1" s="1"/>
  <c r="AM39" i="1"/>
  <c r="AL39" i="1"/>
  <c r="AI39" i="1"/>
  <c r="AF39" i="1"/>
  <c r="Z39" i="1"/>
  <c r="X39" i="1"/>
  <c r="N39" i="1"/>
  <c r="L39" i="1"/>
  <c r="G39" i="1"/>
  <c r="AN38" i="1"/>
  <c r="AO38" i="1" s="1"/>
  <c r="AM38" i="1"/>
  <c r="AL38" i="1"/>
  <c r="AI38" i="1"/>
  <c r="AF38" i="1"/>
  <c r="Z38" i="1"/>
  <c r="Y38" i="1"/>
  <c r="H38" i="1" s="1"/>
  <c r="X38" i="1"/>
  <c r="G38" i="1" s="1"/>
  <c r="L38" i="1"/>
  <c r="N38" i="1" s="1"/>
  <c r="O38" i="1" s="1"/>
  <c r="Q38" i="1" s="1"/>
  <c r="AN37" i="1"/>
  <c r="AM37" i="1"/>
  <c r="AO37" i="1" s="1"/>
  <c r="AL37" i="1"/>
  <c r="AI37" i="1"/>
  <c r="AF37" i="1"/>
  <c r="AA37" i="1"/>
  <c r="Z37" i="1"/>
  <c r="Y37" i="1"/>
  <c r="X37" i="1"/>
  <c r="G37" i="1" s="1"/>
  <c r="L37" i="1"/>
  <c r="N37" i="1" s="1"/>
  <c r="O37" i="1" s="1"/>
  <c r="Q37" i="1" s="1"/>
  <c r="H37" i="1"/>
  <c r="AO36" i="1"/>
  <c r="AN36" i="1"/>
  <c r="AM36" i="1"/>
  <c r="AL36" i="1"/>
  <c r="AI36" i="1"/>
  <c r="AF36" i="1"/>
  <c r="AA36" i="1"/>
  <c r="Z36" i="1"/>
  <c r="Y36" i="1"/>
  <c r="X36" i="1"/>
  <c r="N36" i="1"/>
  <c r="L36" i="1"/>
  <c r="H36" i="1"/>
  <c r="G36" i="1"/>
  <c r="AN35" i="1"/>
  <c r="AO35" i="1" s="1"/>
  <c r="AM35" i="1"/>
  <c r="AL35" i="1"/>
  <c r="AI35" i="1"/>
  <c r="AF35" i="1"/>
  <c r="AA35" i="1"/>
  <c r="Z35" i="1"/>
  <c r="N35" i="1"/>
  <c r="O35" i="1" s="1"/>
  <c r="Q35" i="1" s="1"/>
  <c r="L35" i="1"/>
  <c r="AN34" i="1"/>
  <c r="AO34" i="1" s="1"/>
  <c r="AM34" i="1"/>
  <c r="AL34" i="1"/>
  <c r="AI34" i="1"/>
  <c r="AF34" i="1"/>
  <c r="Z34" i="1"/>
  <c r="Y34" i="1"/>
  <c r="H34" i="1" s="1"/>
  <c r="X34" i="1"/>
  <c r="L34" i="1"/>
  <c r="N34" i="1" s="1"/>
  <c r="G34" i="1"/>
  <c r="AN33" i="1"/>
  <c r="AM33" i="1"/>
  <c r="AO33" i="1" s="1"/>
  <c r="AL33" i="1"/>
  <c r="AI33" i="1"/>
  <c r="AF33" i="1"/>
  <c r="Z33" i="1"/>
  <c r="Y33" i="1"/>
  <c r="H33" i="1" s="1"/>
  <c r="X33" i="1"/>
  <c r="G33" i="1" s="1"/>
  <c r="L33" i="1"/>
  <c r="N33" i="1" s="1"/>
  <c r="O33" i="1" s="1"/>
  <c r="Q33" i="1" s="1"/>
  <c r="AO32" i="1"/>
  <c r="AN32" i="1"/>
  <c r="AM32" i="1"/>
  <c r="AL32" i="1"/>
  <c r="AI32" i="1"/>
  <c r="AF32" i="1"/>
  <c r="AA32" i="1"/>
  <c r="AA47" i="1" s="1"/>
  <c r="Z32" i="1"/>
  <c r="Y32" i="1"/>
  <c r="X32" i="1"/>
  <c r="L32" i="1"/>
  <c r="N32" i="1" s="1"/>
  <c r="O32" i="1" s="1"/>
  <c r="H32" i="1"/>
  <c r="G32" i="1"/>
  <c r="AN31" i="1"/>
  <c r="AO31" i="1" s="1"/>
  <c r="AM31" i="1"/>
  <c r="AL31" i="1"/>
  <c r="AI31" i="1"/>
  <c r="AF31" i="1"/>
  <c r="AA31" i="1"/>
  <c r="Z31" i="1"/>
  <c r="Y31" i="1"/>
  <c r="X31" i="1"/>
  <c r="N31" i="1"/>
  <c r="L31" i="1"/>
  <c r="G31" i="1"/>
  <c r="AL29" i="1"/>
  <c r="AK29" i="1"/>
  <c r="AJ29" i="1"/>
  <c r="AI29" i="1"/>
  <c r="AH29" i="1"/>
  <c r="AG29" i="1"/>
  <c r="AM29" i="1" s="1"/>
  <c r="AE29" i="1"/>
  <c r="AD29" i="1"/>
  <c r="Z29" i="1"/>
  <c r="V29" i="1"/>
  <c r="U29" i="1"/>
  <c r="S29" i="1"/>
  <c r="P29" i="1"/>
  <c r="I29" i="1"/>
  <c r="F29" i="1"/>
  <c r="AN29" i="1" s="1"/>
  <c r="AO29" i="1" s="1"/>
  <c r="E29" i="1"/>
  <c r="D29" i="1"/>
  <c r="C29" i="1"/>
  <c r="AO28" i="1"/>
  <c r="AN28" i="1"/>
  <c r="AM28" i="1"/>
  <c r="AL28" i="1"/>
  <c r="AI28" i="1"/>
  <c r="AF28" i="1"/>
  <c r="AA28" i="1"/>
  <c r="AA40" i="1" s="1"/>
  <c r="Z28" i="1"/>
  <c r="Y28" i="1"/>
  <c r="N28" i="1"/>
  <c r="O28" i="1" s="1"/>
  <c r="Q28" i="1" s="1"/>
  <c r="L28" i="1"/>
  <c r="H28" i="1"/>
  <c r="AN27" i="1"/>
  <c r="AO27" i="1" s="1"/>
  <c r="AM27" i="1"/>
  <c r="AL27" i="1"/>
  <c r="AI27" i="1"/>
  <c r="AF27" i="1"/>
  <c r="AA27" i="1"/>
  <c r="AA39" i="1" s="1"/>
  <c r="AA46" i="1" s="1"/>
  <c r="Z27" i="1"/>
  <c r="Y27" i="1"/>
  <c r="H27" i="1" s="1"/>
  <c r="X27" i="1"/>
  <c r="N27" i="1"/>
  <c r="O27" i="1" s="1"/>
  <c r="Q27" i="1" s="1"/>
  <c r="L27" i="1"/>
  <c r="G27" i="1"/>
  <c r="AN26" i="1"/>
  <c r="AM26" i="1"/>
  <c r="AO26" i="1" s="1"/>
  <c r="AL26" i="1"/>
  <c r="AI26" i="1"/>
  <c r="AF26" i="1"/>
  <c r="AA26" i="1"/>
  <c r="AA38" i="1" s="1"/>
  <c r="Z26" i="1"/>
  <c r="Y26" i="1"/>
  <c r="X26" i="1"/>
  <c r="G26" i="1" s="1"/>
  <c r="L26" i="1"/>
  <c r="N26" i="1" s="1"/>
  <c r="O26" i="1" s="1"/>
  <c r="Q26" i="1" s="1"/>
  <c r="H26" i="1"/>
  <c r="AO25" i="1"/>
  <c r="AN25" i="1"/>
  <c r="AM25" i="1"/>
  <c r="AL25" i="1"/>
  <c r="AI25" i="1"/>
  <c r="AF25" i="1"/>
  <c r="AA25" i="1"/>
  <c r="Z25" i="1"/>
  <c r="Y25" i="1"/>
  <c r="X25" i="1"/>
  <c r="G25" i="1" s="1"/>
  <c r="O25" i="1"/>
  <c r="Q25" i="1" s="1"/>
  <c r="N25" i="1"/>
  <c r="L25" i="1"/>
  <c r="H25" i="1"/>
  <c r="AO24" i="1"/>
  <c r="AN24" i="1"/>
  <c r="AM24" i="1"/>
  <c r="AL24" i="1"/>
  <c r="AI24" i="1"/>
  <c r="AF24" i="1"/>
  <c r="AA24" i="1"/>
  <c r="Z24" i="1"/>
  <c r="N24" i="1"/>
  <c r="L24" i="1"/>
  <c r="AN23" i="1"/>
  <c r="AO23" i="1" s="1"/>
  <c r="AM23" i="1"/>
  <c r="AL23" i="1"/>
  <c r="AI23" i="1"/>
  <c r="AF23" i="1"/>
  <c r="AA23" i="1"/>
  <c r="AA34" i="1" s="1"/>
  <c r="Z23" i="1"/>
  <c r="Y23" i="1"/>
  <c r="H23" i="1" s="1"/>
  <c r="X23" i="1"/>
  <c r="N23" i="1"/>
  <c r="O23" i="1" s="1"/>
  <c r="Q23" i="1" s="1"/>
  <c r="L23" i="1"/>
  <c r="G23" i="1"/>
  <c r="AN22" i="1"/>
  <c r="AM22" i="1"/>
  <c r="AO22" i="1" s="1"/>
  <c r="AL22" i="1"/>
  <c r="AI22" i="1"/>
  <c r="AF22" i="1"/>
  <c r="AA22" i="1"/>
  <c r="AA33" i="1" s="1"/>
  <c r="Z22" i="1"/>
  <c r="Y22" i="1"/>
  <c r="X22" i="1"/>
  <c r="G22" i="1" s="1"/>
  <c r="L22" i="1"/>
  <c r="N22" i="1" s="1"/>
  <c r="O22" i="1" s="1"/>
  <c r="Q22" i="1" s="1"/>
  <c r="H22" i="1"/>
  <c r="AO21" i="1"/>
  <c r="AN21" i="1"/>
  <c r="AM21" i="1"/>
  <c r="AL21" i="1"/>
  <c r="AI21" i="1"/>
  <c r="AF21" i="1"/>
  <c r="AA21" i="1"/>
  <c r="Z21" i="1"/>
  <c r="Y21" i="1"/>
  <c r="X21" i="1"/>
  <c r="G21" i="1" s="1"/>
  <c r="O21" i="1"/>
  <c r="Q21" i="1" s="1"/>
  <c r="N21" i="1"/>
  <c r="L21" i="1"/>
  <c r="H21" i="1"/>
  <c r="AO20" i="1"/>
  <c r="AN20" i="1"/>
  <c r="AM20" i="1"/>
  <c r="AL20" i="1"/>
  <c r="AI20" i="1"/>
  <c r="AF20" i="1"/>
  <c r="AA20" i="1"/>
  <c r="Z20" i="1"/>
  <c r="Y20" i="1"/>
  <c r="X20" i="1"/>
  <c r="N20" i="1"/>
  <c r="N29" i="1" s="1"/>
  <c r="L20" i="1"/>
  <c r="H20" i="1"/>
  <c r="G20" i="1"/>
  <c r="AL18" i="1"/>
  <c r="AK18" i="1"/>
  <c r="AJ18" i="1"/>
  <c r="AH18" i="1"/>
  <c r="AG18" i="1"/>
  <c r="AE18" i="1"/>
  <c r="AD18" i="1"/>
  <c r="AF18" i="1" s="1"/>
  <c r="AA18" i="1"/>
  <c r="S18" i="1"/>
  <c r="P18" i="1"/>
  <c r="I18" i="1"/>
  <c r="F18" i="1"/>
  <c r="AN18" i="1" s="1"/>
  <c r="E18" i="1"/>
  <c r="D18" i="1"/>
  <c r="C18" i="1"/>
  <c r="AN17" i="1"/>
  <c r="AM17" i="1"/>
  <c r="AO17" i="1" s="1"/>
  <c r="AL17" i="1"/>
  <c r="AI17" i="1"/>
  <c r="AF17" i="1"/>
  <c r="Z17" i="1"/>
  <c r="Y17" i="1"/>
  <c r="H17" i="1" s="1"/>
  <c r="W17" i="1"/>
  <c r="V17" i="1"/>
  <c r="Y40" i="1" s="1"/>
  <c r="U17" i="1"/>
  <c r="X28" i="1" s="1"/>
  <c r="G28" i="1" s="1"/>
  <c r="O17" i="1"/>
  <c r="Q17" i="1" s="1"/>
  <c r="M17" i="1"/>
  <c r="L17" i="1"/>
  <c r="N17" i="1" s="1"/>
  <c r="AN16" i="1"/>
  <c r="AM16" i="1"/>
  <c r="AO16" i="1" s="1"/>
  <c r="AL16" i="1"/>
  <c r="AI16" i="1"/>
  <c r="AF16" i="1"/>
  <c r="X16" i="1"/>
  <c r="W16" i="1"/>
  <c r="V16" i="1"/>
  <c r="Y39" i="1" s="1"/>
  <c r="H39" i="1" s="1"/>
  <c r="M16" i="1"/>
  <c r="L16" i="1"/>
  <c r="G16" i="1"/>
  <c r="AN15" i="1"/>
  <c r="AO15" i="1" s="1"/>
  <c r="AM15" i="1"/>
  <c r="AL15" i="1"/>
  <c r="AI15" i="1"/>
  <c r="AF15" i="1"/>
  <c r="X15" i="1"/>
  <c r="G15" i="1" s="1"/>
  <c r="V15" i="1"/>
  <c r="Y35" i="1" s="1"/>
  <c r="H35" i="1" s="1"/>
  <c r="U15" i="1"/>
  <c r="X35" i="1" s="1"/>
  <c r="G35" i="1" s="1"/>
  <c r="M15" i="1"/>
  <c r="AN14" i="1"/>
  <c r="AO14" i="1" s="1"/>
  <c r="AM14" i="1"/>
  <c r="AL14" i="1"/>
  <c r="AI14" i="1"/>
  <c r="AF14" i="1"/>
  <c r="Z14" i="1"/>
  <c r="Y14" i="1"/>
  <c r="X14" i="1"/>
  <c r="G14" i="1" s="1"/>
  <c r="W14" i="1"/>
  <c r="M14" i="1"/>
  <c r="L14" i="1"/>
  <c r="N14" i="1" s="1"/>
  <c r="H14" i="1"/>
  <c r="AN13" i="1"/>
  <c r="AO13" i="1" s="1"/>
  <c r="AM13" i="1"/>
  <c r="AL13" i="1"/>
  <c r="AI13" i="1"/>
  <c r="AF13" i="1"/>
  <c r="Z13" i="1"/>
  <c r="Y13" i="1"/>
  <c r="X13" i="1"/>
  <c r="G13" i="1" s="1"/>
  <c r="W13" i="1"/>
  <c r="N13" i="1"/>
  <c r="O13" i="1" s="1"/>
  <c r="Q13" i="1" s="1"/>
  <c r="M13" i="1"/>
  <c r="L13" i="1"/>
  <c r="H13" i="1"/>
  <c r="AN12" i="1"/>
  <c r="AM12" i="1"/>
  <c r="AO12" i="1" s="1"/>
  <c r="AL12" i="1"/>
  <c r="AI12" i="1"/>
  <c r="AF12" i="1"/>
  <c r="Z12" i="1"/>
  <c r="Y12" i="1"/>
  <c r="H12" i="1" s="1"/>
  <c r="X12" i="1"/>
  <c r="W12" i="1"/>
  <c r="N12" i="1"/>
  <c r="O12" i="1" s="1"/>
  <c r="Q12" i="1" s="1"/>
  <c r="M12" i="1"/>
  <c r="L12" i="1"/>
  <c r="G12" i="1"/>
  <c r="AO11" i="1"/>
  <c r="AN11" i="1"/>
  <c r="AM11" i="1"/>
  <c r="AL11" i="1"/>
  <c r="AI11" i="1"/>
  <c r="AF11" i="1"/>
  <c r="Z11" i="1"/>
  <c r="Y11" i="1"/>
  <c r="X11" i="1"/>
  <c r="G11" i="1" s="1"/>
  <c r="W11" i="1"/>
  <c r="M11" i="1"/>
  <c r="L11" i="1"/>
  <c r="AK9" i="1"/>
  <c r="AJ9" i="1"/>
  <c r="AJ68" i="1" s="1"/>
  <c r="AH9" i="1"/>
  <c r="AH68" i="1" s="1"/>
  <c r="AG9" i="1"/>
  <c r="AG68" i="1" s="1"/>
  <c r="AE9" i="1"/>
  <c r="AE68" i="1" s="1"/>
  <c r="AD9" i="1"/>
  <c r="AF9" i="1" s="1"/>
  <c r="AA9" i="1"/>
  <c r="V9" i="1"/>
  <c r="U9" i="1"/>
  <c r="Z9" i="1" s="1"/>
  <c r="P9" i="1"/>
  <c r="F9" i="1"/>
  <c r="F68" i="1" s="1"/>
  <c r="E9" i="1"/>
  <c r="D9" i="1"/>
  <c r="C9" i="1"/>
  <c r="C68" i="1" s="1"/>
  <c r="AO8" i="1"/>
  <c r="AN8" i="1"/>
  <c r="AM8" i="1"/>
  <c r="AL8" i="1"/>
  <c r="AI8" i="1"/>
  <c r="AF8" i="1"/>
  <c r="AA8" i="1"/>
  <c r="Z8" i="1"/>
  <c r="Y8" i="1"/>
  <c r="X8" i="1"/>
  <c r="W8" i="1"/>
  <c r="Q8" i="1"/>
  <c r="L8" i="1"/>
  <c r="N8" i="1" s="1"/>
  <c r="O8" i="1" s="1"/>
  <c r="H8" i="1"/>
  <c r="G8" i="1"/>
  <c r="AN7" i="1"/>
  <c r="AO7" i="1" s="1"/>
  <c r="AM7" i="1"/>
  <c r="AL7" i="1"/>
  <c r="AI7" i="1"/>
  <c r="AF7" i="1"/>
  <c r="Z7" i="1"/>
  <c r="Y7" i="1"/>
  <c r="X7" i="1"/>
  <c r="W7" i="1"/>
  <c r="L7" i="1"/>
  <c r="N7" i="1" s="1"/>
  <c r="O7" i="1" s="1"/>
  <c r="Q7" i="1" s="1"/>
  <c r="H7" i="1"/>
  <c r="G7" i="1"/>
  <c r="AO6" i="1"/>
  <c r="AN6" i="1"/>
  <c r="AM6" i="1"/>
  <c r="AL6" i="1"/>
  <c r="AI6" i="1"/>
  <c r="AF6" i="1"/>
  <c r="Z6" i="1"/>
  <c r="Y6" i="1"/>
  <c r="Y9" i="1" s="1"/>
  <c r="X6" i="1"/>
  <c r="W6" i="1"/>
  <c r="L6" i="1"/>
  <c r="N6" i="1" s="1"/>
  <c r="H6" i="1"/>
  <c r="G6" i="1"/>
  <c r="AN5" i="1"/>
  <c r="AO5" i="1" s="1"/>
  <c r="AM5" i="1"/>
  <c r="AL5" i="1"/>
  <c r="AI5" i="1"/>
  <c r="AF5" i="1"/>
  <c r="Z5" i="1"/>
  <c r="Y5" i="1"/>
  <c r="X5" i="1"/>
  <c r="W5" i="1"/>
  <c r="N5" i="1"/>
  <c r="O5" i="1" s="1"/>
  <c r="Q5" i="1" s="1"/>
  <c r="R5" i="1" s="1"/>
  <c r="L5" i="1"/>
  <c r="H5" i="1"/>
  <c r="G5" i="1"/>
  <c r="AN4" i="1"/>
  <c r="AO4" i="1" s="1"/>
  <c r="AM4" i="1"/>
  <c r="AL4" i="1"/>
  <c r="AI4" i="1"/>
  <c r="AF4" i="1"/>
  <c r="Z4" i="1"/>
  <c r="Y4" i="1"/>
  <c r="X4" i="1"/>
  <c r="W4" i="1"/>
  <c r="Q4" i="1"/>
  <c r="L4" i="1"/>
  <c r="N4" i="1" s="1"/>
  <c r="O4" i="1" s="1"/>
  <c r="H4" i="1"/>
  <c r="G4" i="1"/>
  <c r="AN3" i="1"/>
  <c r="AO3" i="1" s="1"/>
  <c r="AM3" i="1"/>
  <c r="AL3" i="1"/>
  <c r="AI3" i="1"/>
  <c r="AF3" i="1"/>
  <c r="Z3" i="1"/>
  <c r="Y3" i="1"/>
  <c r="X3" i="1"/>
  <c r="X9" i="1" s="1"/>
  <c r="W3" i="1"/>
  <c r="O3" i="1"/>
  <c r="N3" i="1"/>
  <c r="L3" i="1"/>
  <c r="H3" i="1"/>
  <c r="H9" i="1" s="1"/>
  <c r="G3" i="1"/>
  <c r="G9" i="1" s="1"/>
  <c r="V81" i="2"/>
  <c r="R81" i="2"/>
  <c r="Q81" i="2"/>
  <c r="Q80" i="2"/>
  <c r="R80" i="2" s="1"/>
  <c r="V80" i="2" s="1"/>
  <c r="Q79" i="2"/>
  <c r="U79" i="2" s="1"/>
  <c r="V78" i="2"/>
  <c r="U78" i="2"/>
  <c r="R78" i="2"/>
  <c r="Q78" i="2"/>
  <c r="Q77" i="2"/>
  <c r="R77" i="2" s="1"/>
  <c r="W73" i="2"/>
  <c r="AR71" i="2"/>
  <c r="AO71" i="2"/>
  <c r="AP71" i="2" s="1"/>
  <c r="AN71" i="2"/>
  <c r="AL71" i="2"/>
  <c r="AK71" i="2"/>
  <c r="AM71" i="2" s="1"/>
  <c r="AJ71" i="2"/>
  <c r="AI71" i="2"/>
  <c r="AH71" i="2"/>
  <c r="AE71" i="2"/>
  <c r="W71" i="2"/>
  <c r="S71" i="2"/>
  <c r="R70" i="2"/>
  <c r="U70" i="2" s="1"/>
  <c r="G70" i="2"/>
  <c r="R69" i="2"/>
  <c r="U69" i="2" s="1"/>
  <c r="G69" i="2"/>
  <c r="R68" i="2"/>
  <c r="U68" i="2" s="1"/>
  <c r="G68" i="2"/>
  <c r="U67" i="2"/>
  <c r="R67" i="2"/>
  <c r="G67" i="2"/>
  <c r="U66" i="2"/>
  <c r="R66" i="2"/>
  <c r="G66" i="2"/>
  <c r="U65" i="2"/>
  <c r="R65" i="2"/>
  <c r="G65" i="2"/>
  <c r="R64" i="2"/>
  <c r="U64" i="2" s="1"/>
  <c r="G64" i="2"/>
  <c r="U63" i="2"/>
  <c r="R63" i="2"/>
  <c r="G63" i="2"/>
  <c r="AU62" i="2"/>
  <c r="AT62" i="2"/>
  <c r="AR62" i="2"/>
  <c r="AS62" i="2" s="1"/>
  <c r="AQ62" i="2"/>
  <c r="AP62" i="2"/>
  <c r="AM62" i="2"/>
  <c r="AJ62" i="2"/>
  <c r="R62" i="2"/>
  <c r="U62" i="2" s="1"/>
  <c r="Q62" i="2"/>
  <c r="G62" i="2"/>
  <c r="AU61" i="2"/>
  <c r="AT61" i="2"/>
  <c r="AR61" i="2"/>
  <c r="AS61" i="2" s="1"/>
  <c r="AQ61" i="2"/>
  <c r="AP61" i="2"/>
  <c r="AM61" i="2"/>
  <c r="AJ61" i="2"/>
  <c r="AC61" i="2"/>
  <c r="AB61" i="2"/>
  <c r="R61" i="2"/>
  <c r="U61" i="2" s="1"/>
  <c r="Q61" i="2"/>
  <c r="G61" i="2"/>
  <c r="AU60" i="2"/>
  <c r="AU73" i="2" s="1"/>
  <c r="AT60" i="2"/>
  <c r="AS60" i="2"/>
  <c r="AR60" i="2"/>
  <c r="AQ60" i="2"/>
  <c r="AP60" i="2"/>
  <c r="AM60" i="2"/>
  <c r="AJ60" i="2"/>
  <c r="AC60" i="2"/>
  <c r="AB60" i="2"/>
  <c r="R60" i="2"/>
  <c r="U60" i="2" s="1"/>
  <c r="Q60" i="2"/>
  <c r="G60" i="2"/>
  <c r="AS59" i="2"/>
  <c r="AR59" i="2"/>
  <c r="AQ59" i="2"/>
  <c r="AP59" i="2"/>
  <c r="AM59" i="2"/>
  <c r="AJ59" i="2"/>
  <c r="AD59" i="2"/>
  <c r="AC59" i="2"/>
  <c r="AB59" i="2"/>
  <c r="Q59" i="2"/>
  <c r="R59" i="2" s="1"/>
  <c r="U59" i="2" s="1"/>
  <c r="G59" i="2"/>
  <c r="AR58" i="2"/>
  <c r="AS58" i="2" s="1"/>
  <c r="AQ58" i="2"/>
  <c r="AP58" i="2"/>
  <c r="AM58" i="2"/>
  <c r="AJ58" i="2"/>
  <c r="AD58" i="2"/>
  <c r="AC58" i="2"/>
  <c r="AB58" i="2"/>
  <c r="U58" i="2"/>
  <c r="AF58" i="2" s="1"/>
  <c r="R58" i="2"/>
  <c r="Q58" i="2"/>
  <c r="G58" i="2"/>
  <c r="AR57" i="2"/>
  <c r="AQ57" i="2"/>
  <c r="AP57" i="2"/>
  <c r="AM57" i="2"/>
  <c r="AJ57" i="2"/>
  <c r="AD57" i="2"/>
  <c r="AC57" i="2"/>
  <c r="AB57" i="2"/>
  <c r="Q57" i="2"/>
  <c r="R57" i="2" s="1"/>
  <c r="U57" i="2" s="1"/>
  <c r="V57" i="2" s="1"/>
  <c r="G57" i="2"/>
  <c r="AR56" i="2"/>
  <c r="AQ56" i="2"/>
  <c r="AS56" i="2" s="1"/>
  <c r="AP56" i="2"/>
  <c r="AM56" i="2"/>
  <c r="AJ56" i="2"/>
  <c r="AC56" i="2"/>
  <c r="Z56" i="2"/>
  <c r="Z71" i="2" s="1"/>
  <c r="Y56" i="2"/>
  <c r="AB56" i="2" s="1"/>
  <c r="G56" i="2"/>
  <c r="AQ54" i="2"/>
  <c r="AP54" i="2"/>
  <c r="AO54" i="2"/>
  <c r="AN54" i="2"/>
  <c r="AL54" i="2"/>
  <c r="AR54" i="2" s="1"/>
  <c r="AS54" i="2" s="1"/>
  <c r="AK54" i="2"/>
  <c r="AI54" i="2"/>
  <c r="AJ54" i="2" s="1"/>
  <c r="AH54" i="2"/>
  <c r="AB54" i="2"/>
  <c r="Z54" i="2"/>
  <c r="AD54" i="2" s="1"/>
  <c r="Y54" i="2"/>
  <c r="W54" i="2"/>
  <c r="S54" i="2"/>
  <c r="G53" i="2"/>
  <c r="AR52" i="2"/>
  <c r="AQ52" i="2"/>
  <c r="AS52" i="2" s="1"/>
  <c r="AP52" i="2"/>
  <c r="AM52" i="2"/>
  <c r="AJ52" i="2"/>
  <c r="AD52" i="2"/>
  <c r="AC52" i="2"/>
  <c r="AB52" i="2"/>
  <c r="G52" i="2"/>
  <c r="Q52" i="2" s="1"/>
  <c r="R52" i="2" s="1"/>
  <c r="U52" i="2" s="1"/>
  <c r="U51" i="2"/>
  <c r="G51" i="2"/>
  <c r="AR50" i="2"/>
  <c r="AQ50" i="2"/>
  <c r="AS50" i="2" s="1"/>
  <c r="AP50" i="2"/>
  <c r="AM50" i="2"/>
  <c r="AJ50" i="2"/>
  <c r="AD50" i="2"/>
  <c r="AC50" i="2"/>
  <c r="AB50" i="2"/>
  <c r="Q50" i="2"/>
  <c r="U50" i="2" s="1"/>
  <c r="U54" i="2" s="1"/>
  <c r="G50" i="2"/>
  <c r="AR49" i="2"/>
  <c r="AQ49" i="2"/>
  <c r="AS49" i="2" s="1"/>
  <c r="AP49" i="2"/>
  <c r="AM49" i="2"/>
  <c r="AJ49" i="2"/>
  <c r="AD49" i="2"/>
  <c r="AC49" i="2"/>
  <c r="AB49" i="2"/>
  <c r="Q49" i="2"/>
  <c r="R49" i="2" s="1"/>
  <c r="U49" i="2" s="1"/>
  <c r="AF49" i="2" s="1"/>
  <c r="G49" i="2"/>
  <c r="AR48" i="2"/>
  <c r="AQ48" i="2"/>
  <c r="AS48" i="2" s="1"/>
  <c r="AP48" i="2"/>
  <c r="AM48" i="2"/>
  <c r="AJ48" i="2"/>
  <c r="AD48" i="2"/>
  <c r="AC48" i="2"/>
  <c r="AB48" i="2"/>
  <c r="Q48" i="2"/>
  <c r="R48" i="2" s="1"/>
  <c r="U48" i="2" s="1"/>
  <c r="G48" i="2"/>
  <c r="G47" i="2"/>
  <c r="AR46" i="2"/>
  <c r="AS46" i="2" s="1"/>
  <c r="AQ46" i="2"/>
  <c r="AP46" i="2"/>
  <c r="AM46" i="2"/>
  <c r="AJ46" i="2"/>
  <c r="AD46" i="2"/>
  <c r="AC46" i="2"/>
  <c r="AC54" i="2" s="1"/>
  <c r="AB46" i="2"/>
  <c r="Q46" i="2"/>
  <c r="R46" i="2" s="1"/>
  <c r="U46" i="2" s="1"/>
  <c r="G46" i="2"/>
  <c r="G45" i="2"/>
  <c r="G44" i="2"/>
  <c r="AR43" i="2"/>
  <c r="AS43" i="2" s="1"/>
  <c r="AQ43" i="2"/>
  <c r="AP43" i="2"/>
  <c r="AM43" i="2"/>
  <c r="AJ43" i="2"/>
  <c r="AD43" i="2"/>
  <c r="AC43" i="2"/>
  <c r="AB43" i="2"/>
  <c r="Z43" i="2"/>
  <c r="Q43" i="2" s="1"/>
  <c r="G43" i="2"/>
  <c r="AQ41" i="2"/>
  <c r="AP41" i="2"/>
  <c r="AO41" i="2"/>
  <c r="AN41" i="2"/>
  <c r="AM41" i="2"/>
  <c r="AL41" i="2"/>
  <c r="AR41" i="2" s="1"/>
  <c r="AS41" i="2" s="1"/>
  <c r="AK41" i="2"/>
  <c r="AI41" i="2"/>
  <c r="AJ41" i="2" s="1"/>
  <c r="AH41" i="2"/>
  <c r="Z41" i="2"/>
  <c r="Y41" i="2"/>
  <c r="AD41" i="2" s="1"/>
  <c r="W41" i="2"/>
  <c r="S41" i="2"/>
  <c r="AR40" i="2"/>
  <c r="AS40" i="2" s="1"/>
  <c r="AQ40" i="2"/>
  <c r="AP40" i="2"/>
  <c r="AM40" i="2"/>
  <c r="AJ40" i="2"/>
  <c r="AD40" i="2"/>
  <c r="AC40" i="2"/>
  <c r="AB40" i="2"/>
  <c r="R40" i="2"/>
  <c r="U40" i="2" s="1"/>
  <c r="Q40" i="2"/>
  <c r="G40" i="2"/>
  <c r="AR39" i="2"/>
  <c r="AS39" i="2" s="1"/>
  <c r="AQ39" i="2"/>
  <c r="AP39" i="2"/>
  <c r="AM39" i="2"/>
  <c r="AJ39" i="2"/>
  <c r="AD39" i="2"/>
  <c r="AB39" i="2"/>
  <c r="R39" i="2"/>
  <c r="U39" i="2" s="1"/>
  <c r="Q39" i="2"/>
  <c r="G39" i="2"/>
  <c r="AR38" i="2"/>
  <c r="AS38" i="2" s="1"/>
  <c r="AQ38" i="2"/>
  <c r="AP38" i="2"/>
  <c r="AM38" i="2"/>
  <c r="AJ38" i="2"/>
  <c r="AD38" i="2"/>
  <c r="AC38" i="2"/>
  <c r="AB38" i="2"/>
  <c r="R38" i="2"/>
  <c r="U38" i="2" s="1"/>
  <c r="Q38" i="2"/>
  <c r="G38" i="2"/>
  <c r="AR37" i="2"/>
  <c r="AS37" i="2" s="1"/>
  <c r="AQ37" i="2"/>
  <c r="AP37" i="2"/>
  <c r="AM37" i="2"/>
  <c r="AJ37" i="2"/>
  <c r="AD37" i="2"/>
  <c r="AC37" i="2"/>
  <c r="AB37" i="2"/>
  <c r="R37" i="2"/>
  <c r="U37" i="2" s="1"/>
  <c r="Q37" i="2"/>
  <c r="G37" i="2"/>
  <c r="AR36" i="2"/>
  <c r="AS36" i="2" s="1"/>
  <c r="AQ36" i="2"/>
  <c r="AP36" i="2"/>
  <c r="AM36" i="2"/>
  <c r="AJ36" i="2"/>
  <c r="AE36" i="2"/>
  <c r="AD36" i="2"/>
  <c r="AC36" i="2"/>
  <c r="AB36" i="2"/>
  <c r="R36" i="2"/>
  <c r="U36" i="2" s="1"/>
  <c r="V36" i="2" s="1"/>
  <c r="Q36" i="2"/>
  <c r="G36" i="2"/>
  <c r="AR35" i="2"/>
  <c r="AS35" i="2" s="1"/>
  <c r="AQ35" i="2"/>
  <c r="AP35" i="2"/>
  <c r="AM35" i="2"/>
  <c r="AJ35" i="2"/>
  <c r="AD35" i="2"/>
  <c r="AB35" i="2"/>
  <c r="R35" i="2"/>
  <c r="U35" i="2" s="1"/>
  <c r="Q35" i="2"/>
  <c r="G35" i="2"/>
  <c r="AR34" i="2"/>
  <c r="AS34" i="2" s="1"/>
  <c r="AQ34" i="2"/>
  <c r="AP34" i="2"/>
  <c r="AM34" i="2"/>
  <c r="AJ34" i="2"/>
  <c r="AD34" i="2"/>
  <c r="AC34" i="2"/>
  <c r="AB34" i="2"/>
  <c r="R34" i="2"/>
  <c r="U34" i="2" s="1"/>
  <c r="Q34" i="2"/>
  <c r="G34" i="2"/>
  <c r="AR33" i="2"/>
  <c r="AS33" i="2" s="1"/>
  <c r="AQ33" i="2"/>
  <c r="AP33" i="2"/>
  <c r="AM33" i="2"/>
  <c r="AJ33" i="2"/>
  <c r="AD33" i="2"/>
  <c r="AC33" i="2"/>
  <c r="AB33" i="2"/>
  <c r="R33" i="2"/>
  <c r="U33" i="2" s="1"/>
  <c r="Q33" i="2"/>
  <c r="G33" i="2"/>
  <c r="AR32" i="2"/>
  <c r="AS32" i="2" s="1"/>
  <c r="AQ32" i="2"/>
  <c r="AP32" i="2"/>
  <c r="AM32" i="2"/>
  <c r="AJ32" i="2"/>
  <c r="AD32" i="2"/>
  <c r="AC32" i="2"/>
  <c r="AB32" i="2"/>
  <c r="R32" i="2"/>
  <c r="U32" i="2" s="1"/>
  <c r="Q32" i="2"/>
  <c r="G32" i="2"/>
  <c r="AR31" i="2"/>
  <c r="AS31" i="2" s="1"/>
  <c r="AQ31" i="2"/>
  <c r="AP31" i="2"/>
  <c r="AM31" i="2"/>
  <c r="AJ31" i="2"/>
  <c r="AD31" i="2"/>
  <c r="AC31" i="2"/>
  <c r="AB31" i="2"/>
  <c r="AB41" i="2" s="1"/>
  <c r="R31" i="2"/>
  <c r="U31" i="2" s="1"/>
  <c r="Q31" i="2"/>
  <c r="Q41" i="2" s="1"/>
  <c r="G31" i="2"/>
  <c r="AR29" i="2"/>
  <c r="AO29" i="2"/>
  <c r="AP29" i="2" s="1"/>
  <c r="AN29" i="2"/>
  <c r="AL29" i="2"/>
  <c r="AK29" i="2"/>
  <c r="AM29" i="2" s="1"/>
  <c r="AJ29" i="2"/>
  <c r="AI29" i="2"/>
  <c r="AH29" i="2"/>
  <c r="Z29" i="2"/>
  <c r="Y29" i="2"/>
  <c r="AD29" i="2" s="1"/>
  <c r="W29" i="2"/>
  <c r="S29" i="2"/>
  <c r="AS28" i="2"/>
  <c r="AR28" i="2"/>
  <c r="AQ28" i="2"/>
  <c r="AP28" i="2"/>
  <c r="AM28" i="2"/>
  <c r="AJ28" i="2"/>
  <c r="AE28" i="2"/>
  <c r="AE40" i="2" s="1"/>
  <c r="AD28" i="2"/>
  <c r="AC28" i="2"/>
  <c r="G28" i="2"/>
  <c r="Q28" i="2" s="1"/>
  <c r="R28" i="2" s="1"/>
  <c r="U28" i="2" s="1"/>
  <c r="AS27" i="2"/>
  <c r="AR27" i="2"/>
  <c r="AQ27" i="2"/>
  <c r="AP27" i="2"/>
  <c r="AM27" i="2"/>
  <c r="AJ27" i="2"/>
  <c r="AE27" i="2"/>
  <c r="AE39" i="2" s="1"/>
  <c r="AE49" i="2" s="1"/>
  <c r="AD27" i="2"/>
  <c r="AB27" i="2"/>
  <c r="G27" i="2"/>
  <c r="Q27" i="2" s="1"/>
  <c r="R27" i="2" s="1"/>
  <c r="U27" i="2" s="1"/>
  <c r="AS26" i="2"/>
  <c r="AR26" i="2"/>
  <c r="AQ26" i="2"/>
  <c r="AP26" i="2"/>
  <c r="AM26" i="2"/>
  <c r="AJ26" i="2"/>
  <c r="AE26" i="2"/>
  <c r="AE38" i="2" s="1"/>
  <c r="AD26" i="2"/>
  <c r="AC26" i="2"/>
  <c r="AB26" i="2"/>
  <c r="G26" i="2"/>
  <c r="Q26" i="2" s="1"/>
  <c r="R26" i="2" s="1"/>
  <c r="U26" i="2" s="1"/>
  <c r="AS25" i="2"/>
  <c r="AR25" i="2"/>
  <c r="AQ25" i="2"/>
  <c r="AP25" i="2"/>
  <c r="AM25" i="2"/>
  <c r="AJ25" i="2"/>
  <c r="AE25" i="2"/>
  <c r="AE37" i="2" s="1"/>
  <c r="AD25" i="2"/>
  <c r="AC25" i="2"/>
  <c r="AB25" i="2"/>
  <c r="G25" i="2"/>
  <c r="Q25" i="2" s="1"/>
  <c r="R25" i="2" s="1"/>
  <c r="U25" i="2" s="1"/>
  <c r="AS24" i="2"/>
  <c r="AR24" i="2"/>
  <c r="AQ24" i="2"/>
  <c r="AP24" i="2"/>
  <c r="AM24" i="2"/>
  <c r="AJ24" i="2"/>
  <c r="AE24" i="2"/>
  <c r="AE35" i="2" s="1"/>
  <c r="AD24" i="2"/>
  <c r="G24" i="2"/>
  <c r="Q24" i="2" s="1"/>
  <c r="R24" i="2" s="1"/>
  <c r="U24" i="2" s="1"/>
  <c r="AS23" i="2"/>
  <c r="AR23" i="2"/>
  <c r="AQ23" i="2"/>
  <c r="AP23" i="2"/>
  <c r="AM23" i="2"/>
  <c r="AJ23" i="2"/>
  <c r="AE23" i="2"/>
  <c r="AE34" i="2" s="1"/>
  <c r="AD23" i="2"/>
  <c r="AC23" i="2"/>
  <c r="AB23" i="2"/>
  <c r="G23" i="2"/>
  <c r="Q23" i="2" s="1"/>
  <c r="R23" i="2" s="1"/>
  <c r="U23" i="2" s="1"/>
  <c r="AS22" i="2"/>
  <c r="AR22" i="2"/>
  <c r="AQ22" i="2"/>
  <c r="AP22" i="2"/>
  <c r="AM22" i="2"/>
  <c r="AJ22" i="2"/>
  <c r="AE22" i="2"/>
  <c r="AE33" i="2" s="1"/>
  <c r="AD22" i="2"/>
  <c r="AC22" i="2"/>
  <c r="AB22" i="2"/>
  <c r="G22" i="2"/>
  <c r="Q22" i="2" s="1"/>
  <c r="R22" i="2" s="1"/>
  <c r="U22" i="2" s="1"/>
  <c r="AS21" i="2"/>
  <c r="AR21" i="2"/>
  <c r="AQ21" i="2"/>
  <c r="AP21" i="2"/>
  <c r="AM21" i="2"/>
  <c r="AJ21" i="2"/>
  <c r="AE21" i="2"/>
  <c r="AE32" i="2" s="1"/>
  <c r="AE50" i="2" s="1"/>
  <c r="AD21" i="2"/>
  <c r="AC21" i="2"/>
  <c r="AB21" i="2"/>
  <c r="G21" i="2"/>
  <c r="Q21" i="2" s="1"/>
  <c r="R21" i="2" s="1"/>
  <c r="U21" i="2" s="1"/>
  <c r="AS20" i="2"/>
  <c r="AR20" i="2"/>
  <c r="AQ20" i="2"/>
  <c r="AP20" i="2"/>
  <c r="AM20" i="2"/>
  <c r="AJ20" i="2"/>
  <c r="AE20" i="2"/>
  <c r="AE29" i="2" s="1"/>
  <c r="AD20" i="2"/>
  <c r="AC20" i="2"/>
  <c r="AB20" i="2"/>
  <c r="G20" i="2"/>
  <c r="Q20" i="2" s="1"/>
  <c r="AP18" i="2"/>
  <c r="AO18" i="2"/>
  <c r="AN18" i="2"/>
  <c r="AL18" i="2"/>
  <c r="AR18" i="2" s="1"/>
  <c r="AK18" i="2"/>
  <c r="AQ18" i="2" s="1"/>
  <c r="AI18" i="2"/>
  <c r="AJ18" i="2" s="1"/>
  <c r="AH18" i="2"/>
  <c r="AE18" i="2"/>
  <c r="W18" i="2"/>
  <c r="S18" i="2"/>
  <c r="AR17" i="2"/>
  <c r="AS17" i="2" s="1"/>
  <c r="AQ17" i="2"/>
  <c r="AP17" i="2"/>
  <c r="AM17" i="2"/>
  <c r="AJ17" i="2"/>
  <c r="AD17" i="2"/>
  <c r="AC17" i="2"/>
  <c r="AB17" i="2"/>
  <c r="AA17" i="2"/>
  <c r="Z17" i="2"/>
  <c r="Y17" i="2"/>
  <c r="AB28" i="2" s="1"/>
  <c r="G17" i="2"/>
  <c r="Q17" i="2" s="1"/>
  <c r="R17" i="2" s="1"/>
  <c r="U17" i="2" s="1"/>
  <c r="AS16" i="2"/>
  <c r="AR16" i="2"/>
  <c r="AQ16" i="2"/>
  <c r="AP16" i="2"/>
  <c r="AM16" i="2"/>
  <c r="AJ16" i="2"/>
  <c r="AD16" i="2"/>
  <c r="AB16" i="2"/>
  <c r="Z16" i="2"/>
  <c r="AC16" i="2" s="1"/>
  <c r="Q16" i="2"/>
  <c r="R16" i="2" s="1"/>
  <c r="U16" i="2" s="1"/>
  <c r="G16" i="2"/>
  <c r="AR15" i="2"/>
  <c r="AS15" i="2" s="1"/>
  <c r="AQ15" i="2"/>
  <c r="AP15" i="2"/>
  <c r="AM15" i="2"/>
  <c r="AJ15" i="2"/>
  <c r="Z15" i="2"/>
  <c r="Z18" i="2" s="1"/>
  <c r="Y15" i="2"/>
  <c r="AB24" i="2" s="1"/>
  <c r="AB29" i="2" s="1"/>
  <c r="G15" i="2"/>
  <c r="AR14" i="2"/>
  <c r="AS14" i="2" s="1"/>
  <c r="AQ14" i="2"/>
  <c r="AP14" i="2"/>
  <c r="AM14" i="2"/>
  <c r="AJ14" i="2"/>
  <c r="AD14" i="2"/>
  <c r="AC14" i="2"/>
  <c r="AB14" i="2"/>
  <c r="AA14" i="2"/>
  <c r="G14" i="2"/>
  <c r="Q14" i="2" s="1"/>
  <c r="R14" i="2" s="1"/>
  <c r="U14" i="2" s="1"/>
  <c r="AR13" i="2"/>
  <c r="AS13" i="2" s="1"/>
  <c r="AQ13" i="2"/>
  <c r="AP13" i="2"/>
  <c r="AM13" i="2"/>
  <c r="AJ13" i="2"/>
  <c r="AD13" i="2"/>
  <c r="AC13" i="2"/>
  <c r="AB13" i="2"/>
  <c r="AA13" i="2"/>
  <c r="G13" i="2"/>
  <c r="Q13" i="2" s="1"/>
  <c r="R13" i="2" s="1"/>
  <c r="U13" i="2" s="1"/>
  <c r="AR12" i="2"/>
  <c r="AS12" i="2" s="1"/>
  <c r="AQ12" i="2"/>
  <c r="AP12" i="2"/>
  <c r="AM12" i="2"/>
  <c r="AJ12" i="2"/>
  <c r="AD12" i="2"/>
  <c r="AC12" i="2"/>
  <c r="AB12" i="2"/>
  <c r="AA12" i="2"/>
  <c r="G12" i="2"/>
  <c r="Q12" i="2" s="1"/>
  <c r="R12" i="2" s="1"/>
  <c r="U12" i="2" s="1"/>
  <c r="AR11" i="2"/>
  <c r="AS11" i="2" s="1"/>
  <c r="AQ11" i="2"/>
  <c r="AP11" i="2"/>
  <c r="AM11" i="2"/>
  <c r="AJ11" i="2"/>
  <c r="AD11" i="2"/>
  <c r="AC11" i="2"/>
  <c r="AB11" i="2"/>
  <c r="AA11" i="2"/>
  <c r="G11" i="2"/>
  <c r="Q11" i="2" s="1"/>
  <c r="AR9" i="2"/>
  <c r="AP9" i="2"/>
  <c r="AO9" i="2"/>
  <c r="AO73" i="2" s="1"/>
  <c r="AP73" i="2" s="1"/>
  <c r="AN9" i="2"/>
  <c r="AN73" i="2" s="1"/>
  <c r="AL9" i="2"/>
  <c r="AM9" i="2" s="1"/>
  <c r="AK9" i="2"/>
  <c r="AK73" i="2" s="1"/>
  <c r="AQ73" i="2" s="1"/>
  <c r="AJ9" i="2"/>
  <c r="AI9" i="2"/>
  <c r="AI73" i="2" s="1"/>
  <c r="AH9" i="2"/>
  <c r="AH73" i="2" s="1"/>
  <c r="AB9" i="2"/>
  <c r="Z9" i="2"/>
  <c r="Y9" i="2"/>
  <c r="AD9" i="2" s="1"/>
  <c r="W9" i="2"/>
  <c r="S9" i="2"/>
  <c r="AS8" i="2"/>
  <c r="AR8" i="2"/>
  <c r="AQ8" i="2"/>
  <c r="AP8" i="2"/>
  <c r="AM8" i="2"/>
  <c r="AJ8" i="2"/>
  <c r="AE8" i="2"/>
  <c r="AE9" i="2" s="1"/>
  <c r="AD8" i="2"/>
  <c r="AC8" i="2"/>
  <c r="AB8" i="2"/>
  <c r="AA8" i="2"/>
  <c r="Q8" i="2"/>
  <c r="R8" i="2" s="1"/>
  <c r="U8" i="2" s="1"/>
  <c r="G8" i="2"/>
  <c r="AR7" i="2"/>
  <c r="AS7" i="2" s="1"/>
  <c r="AQ7" i="2"/>
  <c r="AP7" i="2"/>
  <c r="AM7" i="2"/>
  <c r="AJ7" i="2"/>
  <c r="AD7" i="2"/>
  <c r="AC7" i="2"/>
  <c r="AB7" i="2"/>
  <c r="AA7" i="2"/>
  <c r="Q7" i="2"/>
  <c r="R7" i="2" s="1"/>
  <c r="U7" i="2" s="1"/>
  <c r="G7" i="2"/>
  <c r="AR6" i="2"/>
  <c r="AS6" i="2" s="1"/>
  <c r="AQ6" i="2"/>
  <c r="AP6" i="2"/>
  <c r="AM6" i="2"/>
  <c r="AJ6" i="2"/>
  <c r="AD6" i="2"/>
  <c r="AC6" i="2"/>
  <c r="AB6" i="2"/>
  <c r="AA6" i="2"/>
  <c r="Q6" i="2"/>
  <c r="R6" i="2" s="1"/>
  <c r="U6" i="2" s="1"/>
  <c r="G6" i="2"/>
  <c r="AR5" i="2"/>
  <c r="AS5" i="2" s="1"/>
  <c r="AQ5" i="2"/>
  <c r="AP5" i="2"/>
  <c r="AM5" i="2"/>
  <c r="AJ5" i="2"/>
  <c r="AD5" i="2"/>
  <c r="AC5" i="2"/>
  <c r="AB5" i="2"/>
  <c r="AA5" i="2"/>
  <c r="Q5" i="2"/>
  <c r="R5" i="2" s="1"/>
  <c r="U5" i="2" s="1"/>
  <c r="V5" i="2" s="1"/>
  <c r="G5" i="2"/>
  <c r="AR4" i="2"/>
  <c r="AS4" i="2" s="1"/>
  <c r="AQ4" i="2"/>
  <c r="AP4" i="2"/>
  <c r="AM4" i="2"/>
  <c r="AJ4" i="2"/>
  <c r="AD4" i="2"/>
  <c r="AC4" i="2"/>
  <c r="AB4" i="2"/>
  <c r="AA4" i="2"/>
  <c r="Q4" i="2"/>
  <c r="R4" i="2" s="1"/>
  <c r="U4" i="2" s="1"/>
  <c r="G4" i="2"/>
  <c r="AR3" i="2"/>
  <c r="AS3" i="2" s="1"/>
  <c r="AQ3" i="2"/>
  <c r="AP3" i="2"/>
  <c r="AM3" i="2"/>
  <c r="AJ3" i="2"/>
  <c r="AD3" i="2"/>
  <c r="AC3" i="2"/>
  <c r="AC9" i="2" s="1"/>
  <c r="AB3" i="2"/>
  <c r="AA3" i="2"/>
  <c r="Q3" i="2"/>
  <c r="R3" i="2" s="1"/>
  <c r="G3" i="2"/>
  <c r="AB71" i="2" l="1"/>
  <c r="AC71" i="2"/>
  <c r="R20" i="2"/>
  <c r="Q29" i="2"/>
  <c r="AF16" i="2"/>
  <c r="AF40" i="2"/>
  <c r="AF39" i="2"/>
  <c r="AF7" i="2"/>
  <c r="V7" i="2"/>
  <c r="AF28" i="2"/>
  <c r="AF27" i="2"/>
  <c r="AF17" i="2"/>
  <c r="V28" i="2"/>
  <c r="V17" i="2"/>
  <c r="V40" i="2"/>
  <c r="AS29" i="2"/>
  <c r="V26" i="2"/>
  <c r="V49" i="2"/>
  <c r="V38" i="2"/>
  <c r="AS18" i="2"/>
  <c r="V4" i="2"/>
  <c r="V12" i="2"/>
  <c r="V52" i="2"/>
  <c r="V21" i="2"/>
  <c r="V32" i="2"/>
  <c r="AF59" i="2"/>
  <c r="AF50" i="2"/>
  <c r="V13" i="2"/>
  <c r="V22" i="2"/>
  <c r="AF46" i="2"/>
  <c r="AF33" i="2"/>
  <c r="V46" i="2"/>
  <c r="AF13" i="2"/>
  <c r="V8" i="2"/>
  <c r="AF22" i="2"/>
  <c r="AF8" i="2"/>
  <c r="V33" i="2"/>
  <c r="V25" i="2"/>
  <c r="AF37" i="2"/>
  <c r="AF25" i="2"/>
  <c r="V37" i="2"/>
  <c r="U41" i="2"/>
  <c r="Z73" i="2"/>
  <c r="R9" i="2"/>
  <c r="U3" i="2"/>
  <c r="Q54" i="2"/>
  <c r="R43" i="2"/>
  <c r="V27" i="2"/>
  <c r="V50" i="2"/>
  <c r="V16" i="2"/>
  <c r="V51" i="2"/>
  <c r="V39" i="2"/>
  <c r="V14" i="2"/>
  <c r="V23" i="2"/>
  <c r="AF34" i="2"/>
  <c r="V48" i="2"/>
  <c r="AF14" i="2"/>
  <c r="AF48" i="2"/>
  <c r="AF23" i="2"/>
  <c r="V34" i="2"/>
  <c r="AF38" i="2"/>
  <c r="V6" i="2"/>
  <c r="AF26" i="2"/>
  <c r="AF6" i="2"/>
  <c r="R11" i="2"/>
  <c r="AC24" i="2"/>
  <c r="AC29" i="2" s="1"/>
  <c r="AC27" i="2"/>
  <c r="AQ29" i="2"/>
  <c r="AE46" i="2"/>
  <c r="AE48" i="2"/>
  <c r="R44" i="1"/>
  <c r="AB33" i="1"/>
  <c r="R22" i="1"/>
  <c r="R13" i="1"/>
  <c r="AB44" i="1"/>
  <c r="AB22" i="1"/>
  <c r="R8" i="1"/>
  <c r="R33" i="1"/>
  <c r="AB8" i="1"/>
  <c r="H11" i="1"/>
  <c r="AI18" i="1"/>
  <c r="AM18" i="1"/>
  <c r="AO18" i="1" s="1"/>
  <c r="AB37" i="1"/>
  <c r="R25" i="1"/>
  <c r="R37" i="1"/>
  <c r="AB25" i="1"/>
  <c r="AA41" i="1"/>
  <c r="AI41" i="1"/>
  <c r="AM41" i="1"/>
  <c r="AO41" i="1" s="1"/>
  <c r="AM66" i="1"/>
  <c r="AN68" i="1"/>
  <c r="AI68" i="1"/>
  <c r="AM18" i="2"/>
  <c r="AC35" i="2"/>
  <c r="AC41" i="2" s="1"/>
  <c r="AC39" i="2"/>
  <c r="AM54" i="2"/>
  <c r="V58" i="2"/>
  <c r="O40" i="1"/>
  <c r="Q40" i="1" s="1"/>
  <c r="AB39" i="1" s="1"/>
  <c r="Z66" i="1"/>
  <c r="Q9" i="2"/>
  <c r="V77" i="2"/>
  <c r="U77" i="2"/>
  <c r="N66" i="1"/>
  <c r="O51" i="1"/>
  <c r="AA15" i="2"/>
  <c r="AB15" i="2"/>
  <c r="AB18" i="2" s="1"/>
  <c r="AB73" i="2" s="1"/>
  <c r="AA16" i="2"/>
  <c r="AB27" i="1"/>
  <c r="R7" i="1"/>
  <c r="AL9" i="1"/>
  <c r="AK68" i="1"/>
  <c r="AL68" i="1" s="1"/>
  <c r="R21" i="1"/>
  <c r="R48" i="1"/>
  <c r="AF29" i="1"/>
  <c r="AB54" i="1"/>
  <c r="AB47" i="1"/>
  <c r="Q32" i="1"/>
  <c r="R12" i="1" s="1"/>
  <c r="O42" i="1"/>
  <c r="Q15" i="2"/>
  <c r="R15" i="2" s="1"/>
  <c r="U15" i="2" s="1"/>
  <c r="AC15" i="2"/>
  <c r="AC18" i="2" s="1"/>
  <c r="AE31" i="2"/>
  <c r="AE41" i="2" s="1"/>
  <c r="S73" i="2"/>
  <c r="AS71" i="2"/>
  <c r="R4" i="1"/>
  <c r="X18" i="1"/>
  <c r="R26" i="1"/>
  <c r="R46" i="1"/>
  <c r="R38" i="1"/>
  <c r="AB53" i="1"/>
  <c r="R53" i="1"/>
  <c r="AL73" i="2"/>
  <c r="AD15" i="2"/>
  <c r="R41" i="2"/>
  <c r="R42" i="2"/>
  <c r="AS57" i="2"/>
  <c r="D68" i="1"/>
  <c r="N11" i="1"/>
  <c r="O14" i="1"/>
  <c r="Q14" i="1" s="1"/>
  <c r="O36" i="1"/>
  <c r="Q36" i="1" s="1"/>
  <c r="R36" i="1" s="1"/>
  <c r="R57" i="1"/>
  <c r="R55" i="1"/>
  <c r="R56" i="1"/>
  <c r="Y18" i="2"/>
  <c r="AD18" i="2" s="1"/>
  <c r="Y71" i="2"/>
  <c r="AD56" i="2"/>
  <c r="N9" i="1"/>
  <c r="O6" i="1"/>
  <c r="Q6" i="1" s="1"/>
  <c r="AM9" i="1"/>
  <c r="S9" i="1"/>
  <c r="E68" i="1"/>
  <c r="S68" i="1" s="1"/>
  <c r="AB13" i="1"/>
  <c r="AA29" i="1"/>
  <c r="Y41" i="1"/>
  <c r="O34" i="1"/>
  <c r="Q34" i="1" s="1"/>
  <c r="AJ73" i="2"/>
  <c r="AQ9" i="2"/>
  <c r="AS9" i="2" s="1"/>
  <c r="Q56" i="2"/>
  <c r="AT73" i="2"/>
  <c r="O9" i="1"/>
  <c r="O39" i="1"/>
  <c r="Q39" i="1" s="1"/>
  <c r="N41" i="1"/>
  <c r="G49" i="1"/>
  <c r="Q3" i="1"/>
  <c r="AI9" i="1"/>
  <c r="Y15" i="1"/>
  <c r="H15" i="1" s="1"/>
  <c r="X17" i="1"/>
  <c r="G17" i="1" s="1"/>
  <c r="G18" i="1" s="1"/>
  <c r="U18" i="1"/>
  <c r="U68" i="1" s="1"/>
  <c r="O20" i="1"/>
  <c r="H31" i="1"/>
  <c r="H41" i="1" s="1"/>
  <c r="X40" i="1"/>
  <c r="G40" i="1" s="1"/>
  <c r="G41" i="1" s="1"/>
  <c r="N43" i="1"/>
  <c r="Q72" i="1"/>
  <c r="AQ71" i="2"/>
  <c r="Z15" i="1"/>
  <c r="V18" i="1"/>
  <c r="S49" i="1"/>
  <c r="X24" i="1"/>
  <c r="G24" i="1" s="1"/>
  <c r="G29" i="1" s="1"/>
  <c r="V49" i="1"/>
  <c r="Z49" i="1" s="1"/>
  <c r="AD68" i="1"/>
  <c r="AF68" i="1" s="1"/>
  <c r="Y16" i="1"/>
  <c r="H16" i="1" s="1"/>
  <c r="Y24" i="1"/>
  <c r="H24" i="1" s="1"/>
  <c r="H29" i="1" s="1"/>
  <c r="AN66" i="1"/>
  <c r="AN9" i="1"/>
  <c r="AO9" i="1" s="1"/>
  <c r="N16" i="1"/>
  <c r="O16" i="1" s="1"/>
  <c r="Q16" i="1" s="1"/>
  <c r="AB16" i="1" s="1"/>
  <c r="Z16" i="1"/>
  <c r="AA45" i="1"/>
  <c r="AA49" i="1" s="1"/>
  <c r="AA68" i="1" s="1"/>
  <c r="L15" i="1"/>
  <c r="N15" i="1" s="1"/>
  <c r="O15" i="1" s="1"/>
  <c r="Q15" i="1" s="1"/>
  <c r="W15" i="1"/>
  <c r="L43" i="1"/>
  <c r="G68" i="1" l="1"/>
  <c r="G69" i="1" s="1"/>
  <c r="AC73" i="2"/>
  <c r="R24" i="1"/>
  <c r="N49" i="1"/>
  <c r="O43" i="1"/>
  <c r="O10" i="1"/>
  <c r="O19" i="1"/>
  <c r="R28" i="1"/>
  <c r="V68" i="1"/>
  <c r="Z68" i="1" s="1"/>
  <c r="R32" i="1"/>
  <c r="AE54" i="2"/>
  <c r="AE73" i="2" s="1"/>
  <c r="U43" i="2"/>
  <c r="R55" i="2"/>
  <c r="AF5" i="2"/>
  <c r="AF61" i="2"/>
  <c r="O66" i="1"/>
  <c r="Q51" i="1"/>
  <c r="X41" i="1"/>
  <c r="L18" i="1"/>
  <c r="L68" i="1" s="1"/>
  <c r="Q71" i="2"/>
  <c r="Q73" i="2" s="1"/>
  <c r="Q74" i="2" s="1"/>
  <c r="R56" i="2"/>
  <c r="AF32" i="2"/>
  <c r="AF12" i="2"/>
  <c r="U9" i="2"/>
  <c r="V3" i="2"/>
  <c r="V9" i="2" s="1"/>
  <c r="AF21" i="2"/>
  <c r="AF3" i="2"/>
  <c r="AF52" i="2"/>
  <c r="AF65" i="2"/>
  <c r="AB12" i="1"/>
  <c r="AB48" i="1"/>
  <c r="AB3" i="1"/>
  <c r="AB32" i="1"/>
  <c r="AB21" i="1"/>
  <c r="Q9" i="1"/>
  <c r="R3" i="1"/>
  <c r="R9" i="1" s="1"/>
  <c r="AD71" i="2"/>
  <c r="Y73" i="2"/>
  <c r="AD73" i="2" s="1"/>
  <c r="N68" i="1"/>
  <c r="N69" i="1" s="1"/>
  <c r="O30" i="1"/>
  <c r="Q20" i="1"/>
  <c r="AM73" i="2"/>
  <c r="AR73" i="2"/>
  <c r="AS73" i="2" s="1"/>
  <c r="O31" i="1"/>
  <c r="R17" i="1"/>
  <c r="AO66" i="1"/>
  <c r="R6" i="1"/>
  <c r="AB6" i="1"/>
  <c r="AB26" i="1"/>
  <c r="AB38" i="1"/>
  <c r="O11" i="1"/>
  <c r="N18" i="1"/>
  <c r="H18" i="1"/>
  <c r="H68" i="1" s="1"/>
  <c r="H69" i="1" s="1"/>
  <c r="R10" i="2"/>
  <c r="R19" i="2"/>
  <c r="AF35" i="2"/>
  <c r="AF57" i="2"/>
  <c r="AB7" i="1"/>
  <c r="R47" i="1"/>
  <c r="R39" i="1"/>
  <c r="R27" i="1"/>
  <c r="R16" i="1"/>
  <c r="AB28" i="1"/>
  <c r="Z18" i="1"/>
  <c r="R40" i="1"/>
  <c r="O24" i="1"/>
  <c r="Q24" i="1" s="1"/>
  <c r="AB17" i="1"/>
  <c r="Y18" i="1"/>
  <c r="AF60" i="2"/>
  <c r="AF36" i="2"/>
  <c r="U11" i="2"/>
  <c r="R18" i="2"/>
  <c r="AB45" i="1"/>
  <c r="AB23" i="1"/>
  <c r="AB14" i="1"/>
  <c r="R34" i="1"/>
  <c r="R45" i="1"/>
  <c r="AB34" i="1"/>
  <c r="R23" i="1"/>
  <c r="R14" i="1"/>
  <c r="Y29" i="1"/>
  <c r="Y68" i="1" s="1"/>
  <c r="V15" i="2"/>
  <c r="V24" i="2"/>
  <c r="V35" i="2"/>
  <c r="X29" i="1"/>
  <c r="AB40" i="1"/>
  <c r="AM68" i="1"/>
  <c r="AO68" i="1" s="1"/>
  <c r="Q18" i="2"/>
  <c r="AF4" i="2"/>
  <c r="AF15" i="2"/>
  <c r="AF67" i="2"/>
  <c r="U20" i="2"/>
  <c r="U29" i="2" s="1"/>
  <c r="R30" i="2"/>
  <c r="R29" i="2"/>
  <c r="AB63" i="1" l="1"/>
  <c r="O67" i="1"/>
  <c r="AB43" i="1"/>
  <c r="AB49" i="1" s="1"/>
  <c r="R15" i="1"/>
  <c r="Q31" i="1"/>
  <c r="Q41" i="1" s="1"/>
  <c r="O41" i="1"/>
  <c r="R71" i="2"/>
  <c r="U56" i="2"/>
  <c r="AB65" i="1"/>
  <c r="R35" i="1"/>
  <c r="O49" i="1"/>
  <c r="O50" i="1" s="1"/>
  <c r="Q43" i="1"/>
  <c r="AF9" i="2"/>
  <c r="V43" i="2"/>
  <c r="V54" i="2" s="1"/>
  <c r="AF24" i="2"/>
  <c r="AF64" i="2"/>
  <c r="AF43" i="2"/>
  <c r="AF54" i="2" s="1"/>
  <c r="AF63" i="2"/>
  <c r="AF62" i="2"/>
  <c r="AF66" i="2"/>
  <c r="AF69" i="2"/>
  <c r="AF70" i="2"/>
  <c r="AB59" i="1"/>
  <c r="Q11" i="1"/>
  <c r="O18" i="1"/>
  <c r="Q29" i="1"/>
  <c r="X68" i="1"/>
  <c r="AB35" i="1"/>
  <c r="AF68" i="2"/>
  <c r="O29" i="1"/>
  <c r="AB15" i="1"/>
  <c r="AB64" i="1"/>
  <c r="V11" i="2"/>
  <c r="V18" i="2" s="1"/>
  <c r="V20" i="2"/>
  <c r="V29" i="2" s="1"/>
  <c r="AF31" i="2"/>
  <c r="AF41" i="2" s="1"/>
  <c r="AF11" i="2"/>
  <c r="AF18" i="2" s="1"/>
  <c r="AF20" i="2"/>
  <c r="U18" i="2"/>
  <c r="AF56" i="2"/>
  <c r="AF71" i="2" s="1"/>
  <c r="V31" i="2"/>
  <c r="V41" i="2" s="1"/>
  <c r="R51" i="1"/>
  <c r="R66" i="1" s="1"/>
  <c r="Q66" i="1"/>
  <c r="AB56" i="1"/>
  <c r="AB60" i="1"/>
  <c r="AF29" i="2" l="1"/>
  <c r="AF73" i="2" s="1"/>
  <c r="R73" i="2"/>
  <c r="R74" i="2" s="1"/>
  <c r="R72" i="2"/>
  <c r="Q49" i="1"/>
  <c r="R43" i="1"/>
  <c r="R49" i="1" s="1"/>
  <c r="AB57" i="1"/>
  <c r="AB52" i="1"/>
  <c r="AB62" i="1"/>
  <c r="AB55" i="1"/>
  <c r="AB4" i="1"/>
  <c r="AB20" i="1"/>
  <c r="R11" i="1"/>
  <c r="R18" i="1" s="1"/>
  <c r="R31" i="1"/>
  <c r="R41" i="1" s="1"/>
  <c r="Q18" i="1"/>
  <c r="AB11" i="1"/>
  <c r="AB18" i="1" s="1"/>
  <c r="AB51" i="1"/>
  <c r="AB66" i="1" s="1"/>
  <c r="AB31" i="1"/>
  <c r="R20" i="1"/>
  <c r="R29" i="1" s="1"/>
  <c r="AB61" i="1"/>
  <c r="Q68" i="1"/>
  <c r="Q69" i="1" s="1"/>
  <c r="AB5" i="1"/>
  <c r="AB24" i="1"/>
  <c r="AB58" i="1"/>
  <c r="R68" i="1"/>
  <c r="AB36" i="1"/>
  <c r="U71" i="2"/>
  <c r="V56" i="2"/>
  <c r="V71" i="2" s="1"/>
  <c r="V73" i="2" s="1"/>
  <c r="O68" i="1"/>
  <c r="O69" i="1" s="1"/>
  <c r="AB29" i="1" l="1"/>
  <c r="AB9" i="1"/>
  <c r="AB41" i="1"/>
  <c r="AB68" i="1" s="1"/>
  <c r="U73" i="2"/>
  <c r="U74" i="2" s="1"/>
</calcChain>
</file>

<file path=xl/sharedStrings.xml><?xml version="1.0" encoding="utf-8"?>
<sst xmlns="http://schemas.openxmlformats.org/spreadsheetml/2006/main" count="402" uniqueCount="142">
  <si>
    <t>Commune</t>
  </si>
  <si>
    <t>Structure / Association</t>
  </si>
  <si>
    <t>2026 demandé par activité</t>
  </si>
  <si>
    <t>Valorisation min de l'heure</t>
  </si>
  <si>
    <t>Valorisation max d el'heure</t>
  </si>
  <si>
    <t>Valorisation Appliquée de l'heure</t>
  </si>
  <si>
    <t>Valorisation du service = frais fixes</t>
  </si>
  <si>
    <t>personnel minimum</t>
  </si>
  <si>
    <t>H par service</t>
  </si>
  <si>
    <t>Matin
/semaine</t>
  </si>
  <si>
    <t>Midi
/semaine</t>
  </si>
  <si>
    <t>Soir
/semaine</t>
  </si>
  <si>
    <t>Jour
/semaine</t>
  </si>
  <si>
    <t>Semaines par an</t>
  </si>
  <si>
    <t>Tarif de l'heure</t>
  </si>
  <si>
    <t>Cofinancement (CAF ou familles)</t>
  </si>
  <si>
    <t>Subvention neutre</t>
  </si>
  <si>
    <t>Proposition Technicien</t>
  </si>
  <si>
    <t>Aide exceptionnelle (décidée en commission)</t>
  </si>
  <si>
    <t>Explication aide exceptionnelle</t>
  </si>
  <si>
    <t>Subvention finale 2026</t>
  </si>
  <si>
    <t>Subvention finale 2026 cumulée asso</t>
  </si>
  <si>
    <t>Évolution Subv.</t>
  </si>
  <si>
    <t>Justification subvention</t>
  </si>
  <si>
    <t>Heures 2024</t>
  </si>
  <si>
    <t>Heures 2025</t>
  </si>
  <si>
    <t>Personnel minimum 2025</t>
  </si>
  <si>
    <t>Heures Totales 2024</t>
  </si>
  <si>
    <t>Heures totales 2025</t>
  </si>
  <si>
    <t>Evolution Heures 24-25</t>
  </si>
  <si>
    <t>Résultat 2025</t>
  </si>
  <si>
    <t>Cumulé par ville</t>
  </si>
  <si>
    <t>Evolution par ville</t>
  </si>
  <si>
    <t>Total des charges 2025</t>
  </si>
  <si>
    <t>Total des charges 2026</t>
  </si>
  <si>
    <t>Evolution des charges</t>
  </si>
  <si>
    <t>Total des produits 2025</t>
  </si>
  <si>
    <t>Total des produits 2026</t>
  </si>
  <si>
    <t>Evolution des produits</t>
  </si>
  <si>
    <t>Charges de personnel 2025</t>
  </si>
  <si>
    <t>Charges de personnel 2026</t>
  </si>
  <si>
    <t>Evolution des charges du personnel</t>
  </si>
  <si>
    <t>Total produit sans ccmvr 2025</t>
  </si>
  <si>
    <t>Total produit sans ccmvr 2026</t>
  </si>
  <si>
    <t>Evolution total produit sans ccmvr</t>
  </si>
  <si>
    <t>Trésorerie (Jours de charges)</t>
  </si>
  <si>
    <t>Trésorerie (Jours de charges avec tous les actifs circulants)</t>
  </si>
  <si>
    <t>CRÈCHES ET MICRO-CRÈCHES</t>
  </si>
  <si>
    <t>Beauzac</t>
  </si>
  <si>
    <t>Crèche Au royaume des lutins</t>
  </si>
  <si>
    <t>Monistrol/Loire</t>
  </si>
  <si>
    <t>Les 6 loupiots en Marches Micro-crèche</t>
  </si>
  <si>
    <t>Crèche Les Marmousets</t>
  </si>
  <si>
    <t>St Pal de Mons</t>
  </si>
  <si>
    <t>Crèche Pirouette</t>
  </si>
  <si>
    <t>Ste Sigolène</t>
  </si>
  <si>
    <t>Crèche Toboggan</t>
  </si>
  <si>
    <t>Aide pour remonter la trésorerie</t>
  </si>
  <si>
    <t>La Chapelle d'Aurec</t>
  </si>
  <si>
    <t>Echap' toi</t>
  </si>
  <si>
    <t>SOUS-TOTAL</t>
  </si>
  <si>
    <t>ALSH (PÉRISCOLAIRE MATIN MIDI ET SOIR)</t>
  </si>
  <si>
    <t>Bas-en-Basset</t>
  </si>
  <si>
    <t>ALSH Arc en Jeux</t>
  </si>
  <si>
    <t>Cap Evasion</t>
  </si>
  <si>
    <t>Les Villettes</t>
  </si>
  <si>
    <t>Oxygène</t>
  </si>
  <si>
    <t>Aide pour payer le bus périscolaire</t>
  </si>
  <si>
    <t>ALSH Le Beauvoir</t>
  </si>
  <si>
    <t>Planet'air</t>
  </si>
  <si>
    <t>La Magie du Jeu</t>
  </si>
  <si>
    <t>Trésorerie importante et questionnements</t>
  </si>
  <si>
    <t>ALSH (PÉRISCOLAIRE &amp; EXTRASCOLAIRE)</t>
  </si>
  <si>
    <t>ALSH (PÉRISCOLAIRE MERCREDI)</t>
  </si>
  <si>
    <t>St Pal de Chalencon</t>
  </si>
  <si>
    <t>ALSH Les têtes en l'air</t>
  </si>
  <si>
    <t>Les Sympas loups</t>
  </si>
  <si>
    <t>ALSH (EXTRASCOLAIRE)</t>
  </si>
  <si>
    <t>Club Jeunesse</t>
  </si>
  <si>
    <t>Aide pour payer de loyer de du lycée</t>
  </si>
  <si>
    <t>Soutien financier vis-àvis des efforts réalisés</t>
  </si>
  <si>
    <t>ACCUEIL AL ADOS (JEUNESSE)</t>
  </si>
  <si>
    <t>MJC LE MONTEIL</t>
  </si>
  <si>
    <t>Saint pal de Mons</t>
  </si>
  <si>
    <t>Sainte Sigolène</t>
  </si>
  <si>
    <t>Soutien financier de lancement d'activité, au regard du prorata des heures non réalisées en 2025</t>
  </si>
  <si>
    <t>ACCUEIL ADOS (JEUNESSE)</t>
  </si>
  <si>
    <t>RPE, LUDOTHÈQUE &amp; AUTRES</t>
  </si>
  <si>
    <t>RPE La Farandole</t>
  </si>
  <si>
    <t>RPE 6 loupiots</t>
  </si>
  <si>
    <t>Intercommunal</t>
  </si>
  <si>
    <t>L'accueil (ADAAFAM)</t>
  </si>
  <si>
    <t>Mission déjà financé par le RPE</t>
  </si>
  <si>
    <t>Ludothèque Ricochet</t>
  </si>
  <si>
    <t>ACIJA / PIJ, Eurodesk et Guid'assos</t>
  </si>
  <si>
    <t>Blocage des financements sur la base des 50% d'avance en attendant plus de transparence financière et juridique</t>
  </si>
  <si>
    <t>ACIJA / PAEJ</t>
  </si>
  <si>
    <t>Arrêt de financement de l'uerodesk et guidasso, financmeent d'un demi ETP PIJ pour financer des actions concrètes jeunesse sur le territoire</t>
  </si>
  <si>
    <t>ACIJA / CLAS</t>
  </si>
  <si>
    <t>Mission Locale / Permanence prévention jeunesse</t>
  </si>
  <si>
    <t>CIDFF / prévention et actions droit des femmes</t>
  </si>
  <si>
    <t>Pas de plue-value 2026</t>
  </si>
  <si>
    <t>Sourirs à l'hirondelle / Activité enfants hospitalisés</t>
  </si>
  <si>
    <t>Financement annexe d'un service hospitalier</t>
  </si>
  <si>
    <t>La clef 43 / Accompagnement logement</t>
  </si>
  <si>
    <t>Pas de budget, pas de demande de subvention formelle</t>
  </si>
  <si>
    <t>Planning familial / Prévention familles</t>
  </si>
  <si>
    <t>Salaire animatrice (intervention école)</t>
  </si>
  <si>
    <t>ADIL</t>
  </si>
  <si>
    <t>Pas de demande ATM</t>
  </si>
  <si>
    <t>Justice et partage</t>
  </si>
  <si>
    <t>Relais</t>
  </si>
  <si>
    <t>TOTAL GÉNÉRAL</t>
  </si>
  <si>
    <t>PÔLE ENFANCE JEUNESSE</t>
  </si>
  <si>
    <t>Demandé total</t>
  </si>
  <si>
    <t>enfants</t>
  </si>
  <si>
    <t>par enfant</t>
  </si>
  <si>
    <t>tier</t>
  </si>
  <si>
    <t>2025 (Acté)</t>
  </si>
  <si>
    <t>2026 (Demandé total association)</t>
  </si>
  <si>
    <t>2025 demandé par structure</t>
  </si>
  <si>
    <t>Commentaire Commission</t>
  </si>
  <si>
    <t>Valorisation de l'heure</t>
  </si>
  <si>
    <t>Proposition Maxime</t>
  </si>
  <si>
    <t>Aide exceptionnelle</t>
  </si>
  <si>
    <t>OK</t>
  </si>
  <si>
    <t>sub entre 45k et 93k (bonus attractivité)</t>
  </si>
  <si>
    <t>(attention provision contrôle CAF et inaptitude) 100k</t>
  </si>
  <si>
    <t>45k</t>
  </si>
  <si>
    <t>Demande d'augmentation des tarifs / 95k</t>
  </si>
  <si>
    <t>OK (à voir evolution financier et fermture de classe)</t>
  </si>
  <si>
    <t>16000 (identique CAF)</t>
  </si>
  <si>
    <t>1 agent pour 8h/semaine pendant 36 semaine</t>
  </si>
  <si>
    <t>1 agent pour 50h/semaine pendant 13 semaines</t>
  </si>
  <si>
    <t>1 agent CEE 50h/semaine pendant 13 semaines</t>
  </si>
  <si>
    <t>1 agent 50h/semaine pendant 47 semaines</t>
  </si>
  <si>
    <t>1 agent pour 10h/semaine pendant 36 semanes</t>
  </si>
  <si>
    <t>1 agent pour soir (peri)</t>
  </si>
  <si>
    <t>Subventions demandées</t>
  </si>
  <si>
    <t>Subventions accordées</t>
  </si>
  <si>
    <t>Subvention en nature</t>
  </si>
  <si>
    <t>Enveloppe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</si>
</sst>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#\ ##0\ \€"/>
    <numFmt numFmtId="165" formatCode="\+\ 0.00%;\-\ 0.00%;0.00%"/>
    <numFmt numFmtId="166" formatCode="#\ ##0\ &quot;h&quot;"/>
    <numFmt numFmtId="167" formatCode="#\ ##0\ &quot;j&quot;"/>
    <numFmt numFmtId="168" formatCode="#.##\ \€"/>
    <numFmt numFmtId="169" formatCode="#,##0\ &quot;€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rgb="FF1F497D"/>
      <name val="Segoe UI"/>
      <family val="2"/>
    </font>
    <font>
      <b/>
      <sz val="10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2980B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/>
  </cellStyleXfs>
  <cellXfs count="4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167" fontId="2" fillId="2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5" fillId="5" borderId="0" xfId="0" applyFont="1" applyFill="1"/>
    <xf numFmtId="0" fontId="4" fillId="5" borderId="0" xfId="0" applyFont="1" applyFill="1"/>
    <xf numFmtId="164" fontId="4" fillId="5" borderId="0" xfId="0" applyNumberFormat="1" applyFont="1" applyFill="1"/>
    <xf numFmtId="165" fontId="4" fillId="5" borderId="0" xfId="0" applyNumberFormat="1" applyFont="1" applyFill="1"/>
    <xf numFmtId="166" fontId="4" fillId="5" borderId="0" xfId="0" applyNumberFormat="1" applyFont="1" applyFill="1"/>
    <xf numFmtId="167" fontId="4" fillId="5" borderId="0" xfId="0" applyNumberFormat="1" applyFont="1" applyFill="1"/>
    <xf numFmtId="164" fontId="4" fillId="0" borderId="0" xfId="0" applyNumberFormat="1" applyFont="1"/>
    <xf numFmtId="2" fontId="4" fillId="0" borderId="0" xfId="0" applyNumberFormat="1" applyFont="1" applyAlignment="1">
      <alignment horizontal="right" vertical="center"/>
    </xf>
    <xf numFmtId="165" fontId="4" fillId="0" borderId="0" xfId="0" applyNumberFormat="1" applyFont="1"/>
    <xf numFmtId="166" fontId="4" fillId="0" borderId="0" xfId="0" applyNumberFormat="1" applyFont="1"/>
    <xf numFmtId="2" fontId="4" fillId="0" borderId="0" xfId="0" applyNumberFormat="1" applyFont="1"/>
    <xf numFmtId="44" fontId="4" fillId="0" borderId="0" xfId="1" applyFont="1"/>
    <xf numFmtId="167" fontId="4" fillId="0" borderId="0" xfId="0" applyNumberFormat="1" applyFont="1"/>
    <xf numFmtId="0" fontId="6" fillId="6" borderId="0" xfId="0" applyFont="1" applyFill="1"/>
    <xf numFmtId="164" fontId="6" fillId="6" borderId="0" xfId="0" applyNumberFormat="1" applyFont="1" applyFill="1"/>
    <xf numFmtId="165" fontId="6" fillId="6" borderId="0" xfId="0" applyNumberFormat="1" applyFont="1" applyFill="1"/>
    <xf numFmtId="166" fontId="6" fillId="6" borderId="0" xfId="0" applyNumberFormat="1" applyFont="1" applyFill="1"/>
    <xf numFmtId="167" fontId="6" fillId="6" borderId="0" xfId="0" applyNumberFormat="1" applyFont="1" applyFill="1"/>
    <xf numFmtId="168" fontId="4" fillId="0" borderId="0" xfId="0" applyNumberFormat="1" applyFont="1"/>
    <xf numFmtId="164" fontId="4" fillId="4" borderId="0" xfId="0" applyNumberFormat="1" applyFont="1" applyFill="1"/>
    <xf numFmtId="0" fontId="4" fillId="0" borderId="0" xfId="1" applyNumberFormat="1" applyFont="1"/>
    <xf numFmtId="0" fontId="6" fillId="7" borderId="0" xfId="0" applyFont="1" applyFill="1"/>
    <xf numFmtId="164" fontId="6" fillId="7" borderId="0" xfId="0" applyNumberFormat="1" applyFont="1" applyFill="1"/>
    <xf numFmtId="165" fontId="6" fillId="7" borderId="0" xfId="0" applyNumberFormat="1" applyFont="1" applyFill="1"/>
    <xf numFmtId="166" fontId="6" fillId="7" borderId="0" xfId="0" applyNumberFormat="1" applyFont="1" applyFill="1"/>
    <xf numFmtId="169" fontId="2" fillId="2" borderId="0" xfId="0" applyNumberFormat="1" applyFont="1" applyFill="1" applyAlignment="1">
      <alignment horizontal="center" vertical="center" wrapText="1"/>
    </xf>
    <xf numFmtId="169" fontId="4" fillId="5" borderId="0" xfId="0" applyNumberFormat="1" applyFont="1" applyFill="1"/>
    <xf numFmtId="0" fontId="4" fillId="8" borderId="0" xfId="0" applyFont="1" applyFill="1"/>
    <xf numFmtId="169" fontId="4" fillId="0" borderId="0" xfId="0" applyNumberFormat="1" applyFont="1"/>
    <xf numFmtId="169" fontId="6" fillId="6" borderId="0" xfId="0" applyNumberFormat="1" applyFont="1" applyFill="1"/>
    <xf numFmtId="164" fontId="4" fillId="9" borderId="0" xfId="0" applyNumberFormat="1" applyFont="1" applyFill="1"/>
    <xf numFmtId="169" fontId="6" fillId="7" borderId="0" xfId="0" applyNumberFormat="1" applyFont="1" applyFill="1"/>
    <xf numFmtId="169" fontId="0" fillId="0" borderId="0" xfId="0" applyNumberFormat="1"/>
  </cellXfs>
  <cellStyles count="2">
    <cellStyle name="Monétaire" xfId="1" builtinId="4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1"/>
  <sheetViews>
    <sheetView zoomScale="85" zoomScaleNormal="85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M54" sqref="M54"/>
    </sheetView>
  </sheetViews>
  <sheetFormatPr baseColWidth="10" defaultColWidth="11.44140625" defaultRowHeight="15" x14ac:dyDescent="0.35"/>
  <cols>
    <col min="1" max="1" width="35.6640625" style="8" customWidth="1"/>
    <col min="2" max="2" width="44.88671875" style="8" bestFit="1" customWidth="1"/>
    <col min="3" max="4" width="10.109375" style="15" bestFit="1" customWidth="1"/>
    <col min="5" max="6" width="10.88671875" style="15" bestFit="1" customWidth="1"/>
    <col min="7" max="8" width="10.88671875" style="15" customWidth="1"/>
    <col min="9" max="11" width="10" style="8" customWidth="1"/>
    <col min="12" max="12" width="11.5546875" style="8" bestFit="1" customWidth="1"/>
    <col min="13" max="13" width="11.5546875" style="37" customWidth="1"/>
    <col min="14" max="14" width="11.109375" style="15" bestFit="1" customWidth="1"/>
    <col min="15" max="15" width="11.44140625" style="15" bestFit="1" customWidth="1"/>
    <col min="16" max="16" width="15.44140625" style="15" customWidth="1"/>
    <col min="17" max="18" width="11" style="15" bestFit="1" customWidth="1"/>
    <col min="19" max="19" width="14.109375" style="17" bestFit="1" customWidth="1"/>
    <col min="20" max="20" width="11.6640625" style="17" customWidth="1"/>
    <col min="21" max="21" width="9.88671875" style="18" bestFit="1" customWidth="1"/>
    <col min="22" max="22" width="11.6640625" style="18" customWidth="1"/>
    <col min="23" max="23" width="9.6640625" style="18" customWidth="1"/>
    <col min="24" max="25" width="11" style="18" bestFit="1" customWidth="1"/>
    <col min="26" max="26" width="10.44140625" style="17" bestFit="1" customWidth="1"/>
    <col min="27" max="27" width="11.88671875" style="15" bestFit="1" customWidth="1"/>
    <col min="28" max="28" width="11.109375" style="15" bestFit="1" customWidth="1"/>
    <col min="29" max="29" width="9.44140625" style="17" bestFit="1" customWidth="1"/>
    <col min="30" max="31" width="11" style="15" bestFit="1" customWidth="1"/>
    <col min="32" max="32" width="10.109375" style="15" customWidth="1"/>
    <col min="33" max="34" width="11" style="15" bestFit="1" customWidth="1"/>
    <col min="35" max="35" width="10.109375" style="15" customWidth="1"/>
    <col min="36" max="37" width="11" style="15" bestFit="1" customWidth="1"/>
    <col min="38" max="38" width="10.6640625" style="15" customWidth="1"/>
    <col min="39" max="40" width="14.88671875" style="15" bestFit="1" customWidth="1"/>
    <col min="41" max="41" width="10.6640625" style="15" customWidth="1"/>
    <col min="42" max="42" width="11" style="21" bestFit="1" customWidth="1"/>
    <col min="43" max="43" width="11.44140625" style="8" customWidth="1"/>
    <col min="44" max="16384" width="11.44140625" style="8"/>
  </cols>
  <sheetData>
    <row r="1" spans="1:43" ht="90" customHeight="1" x14ac:dyDescent="0.35">
      <c r="A1" s="1" t="s">
        <v>0</v>
      </c>
      <c r="B1" s="1" t="s">
        <v>1</v>
      </c>
      <c r="C1" s="1">
        <v>2023</v>
      </c>
      <c r="D1" s="1">
        <v>2024</v>
      </c>
      <c r="E1" s="2" t="s">
        <v>118</v>
      </c>
      <c r="F1" s="2" t="s">
        <v>119</v>
      </c>
      <c r="G1" s="3" t="s">
        <v>120</v>
      </c>
      <c r="H1" s="2" t="s">
        <v>2</v>
      </c>
      <c r="I1" s="1" t="s">
        <v>121</v>
      </c>
      <c r="J1" s="1" t="s">
        <v>4</v>
      </c>
      <c r="K1" s="1" t="s">
        <v>3</v>
      </c>
      <c r="L1" s="1" t="s">
        <v>122</v>
      </c>
      <c r="M1" s="34" t="s">
        <v>6</v>
      </c>
      <c r="N1" s="4" t="s">
        <v>16</v>
      </c>
      <c r="O1" s="2" t="s">
        <v>123</v>
      </c>
      <c r="P1" s="2" t="s">
        <v>124</v>
      </c>
      <c r="Q1" s="2" t="s">
        <v>20</v>
      </c>
      <c r="R1" s="2" t="s">
        <v>21</v>
      </c>
      <c r="S1" s="5" t="s">
        <v>22</v>
      </c>
      <c r="T1" s="5" t="s">
        <v>23</v>
      </c>
      <c r="U1" s="6" t="s">
        <v>24</v>
      </c>
      <c r="V1" s="6" t="s">
        <v>25</v>
      </c>
      <c r="W1" s="6" t="s">
        <v>26</v>
      </c>
      <c r="X1" s="6" t="s">
        <v>27</v>
      </c>
      <c r="Y1" s="6" t="s">
        <v>28</v>
      </c>
      <c r="Z1" s="5" t="s">
        <v>29</v>
      </c>
      <c r="AA1" s="2" t="s">
        <v>30</v>
      </c>
      <c r="AB1" s="2" t="s">
        <v>31</v>
      </c>
      <c r="AC1" s="5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7" t="s">
        <v>45</v>
      </c>
      <c r="AQ1" s="7" t="s">
        <v>46</v>
      </c>
    </row>
    <row r="2" spans="1:43" x14ac:dyDescent="0.35">
      <c r="A2" s="9" t="s">
        <v>47</v>
      </c>
      <c r="B2" s="10"/>
      <c r="C2" s="11"/>
      <c r="D2" s="11"/>
      <c r="E2" s="11"/>
      <c r="F2" s="11"/>
      <c r="G2" s="11"/>
      <c r="H2" s="11"/>
      <c r="I2" s="10"/>
      <c r="J2" s="10"/>
      <c r="K2" s="10"/>
      <c r="L2" s="10"/>
      <c r="M2" s="35"/>
      <c r="N2" s="11"/>
      <c r="O2" s="11"/>
      <c r="P2" s="11"/>
      <c r="Q2" s="11"/>
      <c r="R2" s="11"/>
      <c r="S2" s="12"/>
      <c r="T2" s="12"/>
      <c r="U2" s="13"/>
      <c r="V2" s="13"/>
      <c r="W2" s="13"/>
      <c r="X2" s="13"/>
      <c r="Y2" s="13"/>
      <c r="Z2" s="12"/>
      <c r="AA2" s="11"/>
      <c r="AB2" s="11"/>
      <c r="AC2" s="12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4"/>
    </row>
    <row r="3" spans="1:43" x14ac:dyDescent="0.35">
      <c r="A3" s="8" t="s">
        <v>48</v>
      </c>
      <c r="B3" s="36" t="s">
        <v>49</v>
      </c>
      <c r="C3" s="15">
        <v>77300</v>
      </c>
      <c r="D3" s="15">
        <v>83300</v>
      </c>
      <c r="E3" s="15">
        <v>83300</v>
      </c>
      <c r="F3" s="15">
        <v>93300</v>
      </c>
      <c r="G3" s="15">
        <f t="shared" ref="G3:H8" si="0">E3</f>
        <v>83300</v>
      </c>
      <c r="H3" s="15">
        <f t="shared" si="0"/>
        <v>93300</v>
      </c>
      <c r="I3" s="8" t="s">
        <v>125</v>
      </c>
      <c r="J3" s="8">
        <v>2.7</v>
      </c>
      <c r="K3" s="8">
        <v>2.4</v>
      </c>
      <c r="L3" s="16">
        <f t="shared" ref="L3:L8" si="1">MAX(K3, J3 - (V3 * (J3 - K3) / 60000))</f>
        <v>2.536435</v>
      </c>
      <c r="M3" s="37">
        <v>34467</v>
      </c>
      <c r="N3" s="15">
        <f>IF(V3&gt;0,M3+V3*MAX(3,3.5-(V3*((3.5-3)/56000))),0)</f>
        <v>139407.67527678574</v>
      </c>
      <c r="O3" s="15">
        <f t="shared" ref="O3:O8" si="2">IF(N3&gt;H3,H3,N3)</f>
        <v>93300</v>
      </c>
      <c r="Q3" s="15">
        <f t="shared" ref="Q3:Q8" si="3">O3+P3</f>
        <v>93300</v>
      </c>
      <c r="R3" s="15">
        <f t="shared" ref="R3:R8" si="4">SUMIF(B:B,B3,Q:Q)</f>
        <v>93300</v>
      </c>
      <c r="S3" s="17">
        <v>0.12</v>
      </c>
      <c r="U3" s="18">
        <v>34440</v>
      </c>
      <c r="V3" s="18">
        <v>32713</v>
      </c>
      <c r="W3" s="19">
        <f t="shared" ref="W3:W8" si="5">V3/55/48/6</f>
        <v>2.0652146464646464</v>
      </c>
      <c r="X3" s="18">
        <f t="shared" ref="X3:Y8" si="6">U3</f>
        <v>34440</v>
      </c>
      <c r="Y3" s="18">
        <f t="shared" si="6"/>
        <v>32713</v>
      </c>
      <c r="Z3" s="17">
        <f t="shared" ref="Z3:Z8" si="7">IF(AND(ISNUMBER(U3), U3&gt;0), (V3-U3)/U3, "")</f>
        <v>-5.0145180023228805E-2</v>
      </c>
      <c r="AA3" s="15">
        <v>37661</v>
      </c>
      <c r="AB3" s="15">
        <f t="shared" ref="AB3:AB8" si="8">SUMIF(A:A,A3,Q:Q)</f>
        <v>174647.41519890921</v>
      </c>
      <c r="AC3" s="17">
        <v>6.0199999999999997E-2</v>
      </c>
      <c r="AD3" s="15">
        <v>416006</v>
      </c>
      <c r="AE3" s="15">
        <v>426800</v>
      </c>
      <c r="AF3" s="17">
        <f t="shared" ref="AF3:AF9" si="9">(AE3-AD3)/AD3</f>
        <v>2.5946741152771836E-2</v>
      </c>
      <c r="AG3" s="15">
        <v>453667</v>
      </c>
      <c r="AH3" s="15">
        <v>394500</v>
      </c>
      <c r="AI3" s="17">
        <f t="shared" ref="AI3:AI9" si="10">(AH3-AG3)/AG3</f>
        <v>-0.13041944862641541</v>
      </c>
      <c r="AJ3" s="15">
        <v>339102</v>
      </c>
      <c r="AK3" s="15">
        <v>344100</v>
      </c>
      <c r="AL3" s="17">
        <f t="shared" ref="AL3:AL9" si="11">(AK3-AJ3)/AJ3</f>
        <v>1.4738928110126157E-2</v>
      </c>
      <c r="AM3" s="20">
        <f t="shared" ref="AM3:AN9" si="12">AG3-E3</f>
        <v>370367</v>
      </c>
      <c r="AN3" s="20">
        <f t="shared" si="12"/>
        <v>301200</v>
      </c>
      <c r="AO3" s="17">
        <f t="shared" ref="AO3:AO9" si="13">(AN3-AM3)/AM3</f>
        <v>-0.18675259944865499</v>
      </c>
      <c r="AP3" s="21">
        <v>109</v>
      </c>
      <c r="AQ3" s="21">
        <v>195</v>
      </c>
    </row>
    <row r="4" spans="1:43" x14ac:dyDescent="0.35">
      <c r="A4" s="8" t="s">
        <v>50</v>
      </c>
      <c r="B4" s="36" t="s">
        <v>51</v>
      </c>
      <c r="C4" s="15">
        <v>47200</v>
      </c>
      <c r="D4" s="15">
        <v>74000</v>
      </c>
      <c r="E4" s="15">
        <v>45677</v>
      </c>
      <c r="F4" s="15">
        <v>93000</v>
      </c>
      <c r="G4" s="15">
        <f t="shared" si="0"/>
        <v>45677</v>
      </c>
      <c r="H4" s="15">
        <f t="shared" si="0"/>
        <v>93000</v>
      </c>
      <c r="I4" s="8" t="s">
        <v>126</v>
      </c>
      <c r="J4" s="8">
        <v>2.7</v>
      </c>
      <c r="K4" s="8">
        <v>2.4</v>
      </c>
      <c r="L4" s="16">
        <f t="shared" si="1"/>
        <v>2.6156000000000001</v>
      </c>
      <c r="M4" s="37">
        <v>34467</v>
      </c>
      <c r="N4" s="15">
        <f>IF(V4&gt;0,M4+L4*V4,0)</f>
        <v>78618.328000000009</v>
      </c>
      <c r="O4" s="15">
        <f t="shared" si="2"/>
        <v>78618.328000000009</v>
      </c>
      <c r="Q4" s="15">
        <f t="shared" si="3"/>
        <v>78618.328000000009</v>
      </c>
      <c r="R4" s="15">
        <f t="shared" si="4"/>
        <v>78618.328000000009</v>
      </c>
      <c r="S4" s="17">
        <v>1.036</v>
      </c>
      <c r="U4" s="18">
        <v>18559</v>
      </c>
      <c r="V4" s="18">
        <v>16880</v>
      </c>
      <c r="W4" s="19">
        <f t="shared" si="5"/>
        <v>1.0656565656565657</v>
      </c>
      <c r="X4" s="18">
        <f t="shared" si="6"/>
        <v>18559</v>
      </c>
      <c r="Y4" s="18">
        <f t="shared" si="6"/>
        <v>16880</v>
      </c>
      <c r="Z4" s="17">
        <f t="shared" si="7"/>
        <v>-9.0468236435152755E-2</v>
      </c>
      <c r="AA4" s="15">
        <v>2721</v>
      </c>
      <c r="AB4" s="15">
        <f t="shared" si="8"/>
        <v>676484.10167466663</v>
      </c>
      <c r="AC4" s="17">
        <v>0.1951</v>
      </c>
      <c r="AD4" s="15">
        <v>247678</v>
      </c>
      <c r="AE4" s="15">
        <v>256200</v>
      </c>
      <c r="AF4" s="17">
        <f t="shared" si="9"/>
        <v>3.4407577580568317E-2</v>
      </c>
      <c r="AG4" s="15">
        <v>209263</v>
      </c>
      <c r="AH4" s="15">
        <v>255600</v>
      </c>
      <c r="AI4" s="17">
        <f t="shared" si="10"/>
        <v>0.22142949303030157</v>
      </c>
      <c r="AJ4" s="15">
        <v>209192</v>
      </c>
      <c r="AK4" s="15">
        <v>218900</v>
      </c>
      <c r="AL4" s="17">
        <f t="shared" si="11"/>
        <v>4.640712837967035E-2</v>
      </c>
      <c r="AM4" s="20">
        <f t="shared" si="12"/>
        <v>163586</v>
      </c>
      <c r="AN4" s="20">
        <f t="shared" si="12"/>
        <v>162600</v>
      </c>
      <c r="AO4" s="17">
        <f t="shared" si="13"/>
        <v>-6.0274106586138175E-3</v>
      </c>
      <c r="AP4" s="21">
        <v>35</v>
      </c>
      <c r="AQ4" s="21">
        <v>297</v>
      </c>
    </row>
    <row r="5" spans="1:43" x14ac:dyDescent="0.35">
      <c r="A5" s="8" t="s">
        <v>50</v>
      </c>
      <c r="B5" s="36" t="s">
        <v>52</v>
      </c>
      <c r="C5" s="15">
        <v>191300</v>
      </c>
      <c r="D5" s="15">
        <v>190000</v>
      </c>
      <c r="E5" s="15">
        <v>171546</v>
      </c>
      <c r="F5" s="15">
        <v>177500</v>
      </c>
      <c r="G5" s="15">
        <f t="shared" si="0"/>
        <v>171546</v>
      </c>
      <c r="H5" s="15">
        <f t="shared" si="0"/>
        <v>177500</v>
      </c>
      <c r="I5" s="8" t="s">
        <v>125</v>
      </c>
      <c r="J5" s="8">
        <v>2.7</v>
      </c>
      <c r="K5" s="8">
        <v>2.4</v>
      </c>
      <c r="L5" s="16">
        <f t="shared" si="1"/>
        <v>2.4189099999999999</v>
      </c>
      <c r="M5" s="37">
        <v>34467</v>
      </c>
      <c r="N5" s="15">
        <f>IF(V5&gt;0,M5+L5*V5,0)</f>
        <v>170453.28237999999</v>
      </c>
      <c r="O5" s="15">
        <f t="shared" si="2"/>
        <v>170453.28237999999</v>
      </c>
      <c r="Q5" s="15">
        <f t="shared" si="3"/>
        <v>170453.28237999999</v>
      </c>
      <c r="R5" s="15">
        <f t="shared" si="4"/>
        <v>170453.28237999999</v>
      </c>
      <c r="S5" s="17">
        <v>3.4700000000000002E-2</v>
      </c>
      <c r="U5" s="18">
        <v>57182</v>
      </c>
      <c r="V5" s="18">
        <v>56218</v>
      </c>
      <c r="W5" s="19">
        <f t="shared" si="5"/>
        <v>3.5491161616161615</v>
      </c>
      <c r="X5" s="18">
        <f t="shared" si="6"/>
        <v>57182</v>
      </c>
      <c r="Y5" s="18">
        <f t="shared" si="6"/>
        <v>56218</v>
      </c>
      <c r="Z5" s="17">
        <f t="shared" si="7"/>
        <v>-1.6858451960407122E-2</v>
      </c>
      <c r="AA5" s="15">
        <v>-7800</v>
      </c>
      <c r="AB5" s="15">
        <f t="shared" si="8"/>
        <v>676484.10167466663</v>
      </c>
      <c r="AC5" s="17">
        <v>0.1951</v>
      </c>
      <c r="AD5" s="15">
        <v>696478</v>
      </c>
      <c r="AE5" s="15">
        <v>700400</v>
      </c>
      <c r="AF5" s="17">
        <f t="shared" si="9"/>
        <v>5.6311900734840152E-3</v>
      </c>
      <c r="AG5" s="15">
        <v>688640</v>
      </c>
      <c r="AH5" s="15">
        <v>685100</v>
      </c>
      <c r="AI5" s="17">
        <f t="shared" si="10"/>
        <v>-5.1405669144981413E-3</v>
      </c>
      <c r="AJ5" s="15">
        <v>611487</v>
      </c>
      <c r="AK5" s="15">
        <v>601400</v>
      </c>
      <c r="AL5" s="17">
        <f t="shared" si="11"/>
        <v>-1.6495853550443428E-2</v>
      </c>
      <c r="AM5" s="20">
        <f t="shared" si="12"/>
        <v>517094</v>
      </c>
      <c r="AN5" s="20">
        <f t="shared" si="12"/>
        <v>507600</v>
      </c>
      <c r="AO5" s="17">
        <f t="shared" si="13"/>
        <v>-1.836029812761316E-2</v>
      </c>
      <c r="AP5" s="21">
        <v>48</v>
      </c>
      <c r="AQ5" s="21">
        <v>116</v>
      </c>
    </row>
    <row r="6" spans="1:43" x14ac:dyDescent="0.35">
      <c r="A6" s="8" t="s">
        <v>53</v>
      </c>
      <c r="B6" s="36" t="s">
        <v>54</v>
      </c>
      <c r="C6" s="15">
        <v>90000</v>
      </c>
      <c r="D6" s="15">
        <v>101000</v>
      </c>
      <c r="E6" s="15">
        <v>93000</v>
      </c>
      <c r="F6" s="15">
        <v>147200</v>
      </c>
      <c r="G6" s="15">
        <f t="shared" si="0"/>
        <v>93000</v>
      </c>
      <c r="H6" s="15">
        <f t="shared" si="0"/>
        <v>147200</v>
      </c>
      <c r="I6" s="8" t="s">
        <v>127</v>
      </c>
      <c r="J6" s="8">
        <v>2.7</v>
      </c>
      <c r="K6" s="8">
        <v>2.4</v>
      </c>
      <c r="L6" s="16">
        <f t="shared" si="1"/>
        <v>2.5662199999999999</v>
      </c>
      <c r="M6" s="37">
        <v>34467</v>
      </c>
      <c r="N6" s="15">
        <f>IF(V6&gt;0,M6+L6*V6,0)</f>
        <v>103128.78232</v>
      </c>
      <c r="O6" s="15">
        <f t="shared" si="2"/>
        <v>103128.78232</v>
      </c>
      <c r="Q6" s="15">
        <f t="shared" si="3"/>
        <v>103128.78232</v>
      </c>
      <c r="R6" s="15">
        <f t="shared" si="4"/>
        <v>103128.78232</v>
      </c>
      <c r="S6" s="17">
        <v>0.58279999999999998</v>
      </c>
      <c r="U6" s="18">
        <v>28300</v>
      </c>
      <c r="V6" s="18">
        <v>26756</v>
      </c>
      <c r="W6" s="19">
        <f t="shared" si="5"/>
        <v>1.6891414141414141</v>
      </c>
      <c r="X6" s="18">
        <f t="shared" si="6"/>
        <v>28300</v>
      </c>
      <c r="Y6" s="18">
        <f t="shared" si="6"/>
        <v>26756</v>
      </c>
      <c r="Z6" s="17">
        <f t="shared" si="7"/>
        <v>-5.4558303886925792E-2</v>
      </c>
      <c r="AA6" s="15">
        <v>-2238</v>
      </c>
      <c r="AB6" s="15">
        <f t="shared" si="8"/>
        <v>163635.56864866667</v>
      </c>
      <c r="AC6" s="17">
        <v>0.4516</v>
      </c>
      <c r="AD6" s="15">
        <v>361219</v>
      </c>
      <c r="AE6" s="15">
        <v>405400</v>
      </c>
      <c r="AF6" s="17">
        <f t="shared" si="9"/>
        <v>0.12231084189923565</v>
      </c>
      <c r="AG6" s="15">
        <v>358981</v>
      </c>
      <c r="AH6" s="15">
        <v>405400</v>
      </c>
      <c r="AI6" s="17">
        <f t="shared" si="10"/>
        <v>0.12930767923650555</v>
      </c>
      <c r="AJ6" s="15">
        <v>308426</v>
      </c>
      <c r="AK6" s="15">
        <v>283900</v>
      </c>
      <c r="AL6" s="17">
        <f t="shared" si="11"/>
        <v>-7.9519884834611865E-2</v>
      </c>
      <c r="AM6" s="20">
        <f t="shared" si="12"/>
        <v>265981</v>
      </c>
      <c r="AN6" s="20">
        <f t="shared" si="12"/>
        <v>258200</v>
      </c>
      <c r="AO6" s="17">
        <f t="shared" si="13"/>
        <v>-2.9253969268481582E-2</v>
      </c>
      <c r="AP6" s="21">
        <v>123</v>
      </c>
      <c r="AQ6" s="21">
        <v>123</v>
      </c>
    </row>
    <row r="7" spans="1:43" x14ac:dyDescent="0.35">
      <c r="A7" s="8" t="s">
        <v>55</v>
      </c>
      <c r="B7" s="36" t="s">
        <v>56</v>
      </c>
      <c r="C7" s="15">
        <v>159200</v>
      </c>
      <c r="D7" s="15">
        <v>175800</v>
      </c>
      <c r="E7" s="15">
        <v>169768</v>
      </c>
      <c r="F7" s="15">
        <v>170000</v>
      </c>
      <c r="G7" s="15">
        <f t="shared" si="0"/>
        <v>169768</v>
      </c>
      <c r="H7" s="15">
        <f t="shared" si="0"/>
        <v>170000</v>
      </c>
      <c r="I7" s="8" t="s">
        <v>125</v>
      </c>
      <c r="J7" s="8">
        <v>2.7</v>
      </c>
      <c r="K7" s="8">
        <v>2.4</v>
      </c>
      <c r="L7" s="16">
        <f t="shared" si="1"/>
        <v>2.44455</v>
      </c>
      <c r="M7" s="37">
        <v>34467</v>
      </c>
      <c r="N7" s="15">
        <f>IF(V7&gt;0,M7+L7*V7,0)</f>
        <v>159359.0595</v>
      </c>
      <c r="O7" s="15">
        <f t="shared" si="2"/>
        <v>159359.0595</v>
      </c>
      <c r="Q7" s="15">
        <f t="shared" si="3"/>
        <v>159359.0595</v>
      </c>
      <c r="R7" s="15">
        <f t="shared" si="4"/>
        <v>159359.0595</v>
      </c>
      <c r="S7" s="17">
        <v>1.4E-3</v>
      </c>
      <c r="U7" s="18">
        <v>53256</v>
      </c>
      <c r="V7" s="18">
        <v>51090</v>
      </c>
      <c r="W7" s="19">
        <f t="shared" si="5"/>
        <v>3.2253787878787876</v>
      </c>
      <c r="X7" s="18">
        <f t="shared" si="6"/>
        <v>53256</v>
      </c>
      <c r="Y7" s="18">
        <f t="shared" si="6"/>
        <v>51090</v>
      </c>
      <c r="Z7" s="17">
        <f t="shared" si="7"/>
        <v>-4.0671473636773321E-2</v>
      </c>
      <c r="AA7" s="15">
        <v>-3095</v>
      </c>
      <c r="AB7" s="15">
        <f t="shared" si="8"/>
        <v>349257.9793152645</v>
      </c>
      <c r="AC7" s="17">
        <v>4.8000000000000001E-2</v>
      </c>
      <c r="AD7" s="15">
        <v>659587</v>
      </c>
      <c r="AE7" s="15">
        <v>639700</v>
      </c>
      <c r="AF7" s="17">
        <f t="shared" si="9"/>
        <v>-3.0150685201497301E-2</v>
      </c>
      <c r="AG7" s="15">
        <v>656494</v>
      </c>
      <c r="AH7" s="15">
        <v>639700</v>
      </c>
      <c r="AI7" s="17">
        <f t="shared" si="10"/>
        <v>-2.5581345754873617E-2</v>
      </c>
      <c r="AJ7" s="15">
        <v>572498</v>
      </c>
      <c r="AK7" s="15">
        <v>551100</v>
      </c>
      <c r="AL7" s="17">
        <f t="shared" si="11"/>
        <v>-3.7376549787073492E-2</v>
      </c>
      <c r="AM7" s="20">
        <f t="shared" si="12"/>
        <v>486726</v>
      </c>
      <c r="AN7" s="20">
        <f t="shared" si="12"/>
        <v>469700</v>
      </c>
      <c r="AO7" s="17">
        <f t="shared" si="13"/>
        <v>-3.4980666740630252E-2</v>
      </c>
      <c r="AP7" s="21">
        <v>2</v>
      </c>
      <c r="AQ7" s="21">
        <v>74</v>
      </c>
    </row>
    <row r="8" spans="1:43" x14ac:dyDescent="0.35">
      <c r="A8" s="8" t="s">
        <v>58</v>
      </c>
      <c r="B8" s="36" t="s">
        <v>59</v>
      </c>
      <c r="C8" s="15">
        <v>12590</v>
      </c>
      <c r="D8" s="15">
        <v>30778</v>
      </c>
      <c r="E8" s="15">
        <v>35829</v>
      </c>
      <c r="F8" s="15">
        <v>55767</v>
      </c>
      <c r="G8" s="15">
        <f t="shared" si="0"/>
        <v>35829</v>
      </c>
      <c r="H8" s="15">
        <f t="shared" si="0"/>
        <v>55767</v>
      </c>
      <c r="I8" s="8" t="s">
        <v>128</v>
      </c>
      <c r="J8" s="8">
        <v>2</v>
      </c>
      <c r="K8" s="8">
        <v>1</v>
      </c>
      <c r="L8" s="16">
        <f t="shared" si="1"/>
        <v>1.6295166666666667</v>
      </c>
      <c r="M8" s="37">
        <v>34467</v>
      </c>
      <c r="N8" s="15">
        <f>IF(V8&gt;0,M8+L8*V8,0)</f>
        <v>70689.525983333326</v>
      </c>
      <c r="O8" s="15">
        <f t="shared" si="2"/>
        <v>55767</v>
      </c>
      <c r="Q8" s="15">
        <f t="shared" si="3"/>
        <v>55767</v>
      </c>
      <c r="R8" s="15">
        <f t="shared" si="4"/>
        <v>152642.91105566666</v>
      </c>
      <c r="S8" s="17">
        <v>0.55649999999999999</v>
      </c>
      <c r="U8" s="18">
        <v>19244</v>
      </c>
      <c r="V8" s="18">
        <v>22229</v>
      </c>
      <c r="W8" s="19">
        <f t="shared" si="5"/>
        <v>1.4033459595959596</v>
      </c>
      <c r="X8" s="18">
        <f t="shared" si="6"/>
        <v>19244</v>
      </c>
      <c r="Y8" s="18">
        <f t="shared" si="6"/>
        <v>22229</v>
      </c>
      <c r="Z8" s="17">
        <f t="shared" si="7"/>
        <v>0.15511328206194139</v>
      </c>
      <c r="AA8" s="15">
        <f>AA13</f>
        <v>-18107</v>
      </c>
      <c r="AB8" s="15">
        <f t="shared" si="8"/>
        <v>152642.91105566666</v>
      </c>
      <c r="AC8" s="17">
        <v>0.2833</v>
      </c>
      <c r="AD8" s="15">
        <v>246091</v>
      </c>
      <c r="AE8" s="15">
        <v>254437</v>
      </c>
      <c r="AF8" s="17">
        <f t="shared" si="9"/>
        <v>3.3914283740567513E-2</v>
      </c>
      <c r="AG8" s="15">
        <v>234764</v>
      </c>
      <c r="AH8" s="15">
        <v>254437</v>
      </c>
      <c r="AI8" s="17">
        <f t="shared" si="10"/>
        <v>8.3799049257978223E-2</v>
      </c>
      <c r="AJ8" s="15">
        <v>210689</v>
      </c>
      <c r="AK8" s="15">
        <v>218447</v>
      </c>
      <c r="AL8" s="17">
        <f t="shared" si="11"/>
        <v>3.6822045764135766E-2</v>
      </c>
      <c r="AM8" s="20">
        <f t="shared" si="12"/>
        <v>198935</v>
      </c>
      <c r="AN8" s="20">
        <f t="shared" si="12"/>
        <v>198670</v>
      </c>
      <c r="AO8" s="17">
        <f t="shared" si="13"/>
        <v>-1.33209339734084E-3</v>
      </c>
      <c r="AP8" s="21">
        <v>62</v>
      </c>
      <c r="AQ8" s="21">
        <v>74</v>
      </c>
    </row>
    <row r="9" spans="1:43" x14ac:dyDescent="0.35">
      <c r="A9" s="22" t="s">
        <v>60</v>
      </c>
      <c r="B9" s="22" t="s">
        <v>47</v>
      </c>
      <c r="C9" s="23">
        <f t="shared" ref="C9:H9" si="14">SUM(C3:C8)</f>
        <v>577590</v>
      </c>
      <c r="D9" s="23">
        <f t="shared" si="14"/>
        <v>654878</v>
      </c>
      <c r="E9" s="23">
        <f t="shared" si="14"/>
        <v>599120</v>
      </c>
      <c r="F9" s="23">
        <f t="shared" si="14"/>
        <v>736767</v>
      </c>
      <c r="G9" s="23">
        <f t="shared" si="14"/>
        <v>599120</v>
      </c>
      <c r="H9" s="23">
        <f t="shared" si="14"/>
        <v>736767</v>
      </c>
      <c r="I9" s="23"/>
      <c r="J9" s="23"/>
      <c r="K9" s="23"/>
      <c r="L9" s="23"/>
      <c r="M9" s="38"/>
      <c r="N9" s="23">
        <f>SUM(N3:N8)</f>
        <v>721656.65346011904</v>
      </c>
      <c r="O9" s="23">
        <f>SUM(O3:O8)</f>
        <v>660626.45219999994</v>
      </c>
      <c r="P9" s="23">
        <f>SUM(P3:P8)</f>
        <v>0</v>
      </c>
      <c r="Q9" s="23">
        <f>SUM(Q3:Q8)</f>
        <v>660626.45219999994</v>
      </c>
      <c r="R9" s="23">
        <f>SUM(R3:R8)</f>
        <v>757502.36325566657</v>
      </c>
      <c r="S9" s="24">
        <f>IF(E9&gt;0,(F9-E9)/E9,"")</f>
        <v>0.22974863132594472</v>
      </c>
      <c r="T9" s="24"/>
      <c r="U9" s="25">
        <f>SUM(U3:U8)</f>
        <v>210981</v>
      </c>
      <c r="V9" s="25">
        <f>SUM(V3:V8)</f>
        <v>205886</v>
      </c>
      <c r="W9" s="25"/>
      <c r="X9" s="25">
        <f>SUM(X3:X8)</f>
        <v>210981</v>
      </c>
      <c r="Y9" s="25">
        <f>SUM(Y3:Y8)</f>
        <v>205886</v>
      </c>
      <c r="Z9" s="24">
        <f>IF(U9&gt;0,(V9-U9)/U9,"")</f>
        <v>-2.4149093994245929E-2</v>
      </c>
      <c r="AA9" s="23">
        <f>SUM(AA3:AA8)</f>
        <v>9142</v>
      </c>
      <c r="AB9" s="23">
        <f>SUM(AB3:AB8)</f>
        <v>2193152.0775678405</v>
      </c>
      <c r="AC9" s="17">
        <v>0.2833</v>
      </c>
      <c r="AD9" s="23">
        <f>SUM(AD3:AD8)</f>
        <v>2627059</v>
      </c>
      <c r="AE9" s="23">
        <f>SUM(AE3:AE8)</f>
        <v>2682937</v>
      </c>
      <c r="AF9" s="24">
        <f t="shared" si="9"/>
        <v>2.1270173224126294E-2</v>
      </c>
      <c r="AG9" s="23">
        <f>SUM(AG3:AG8)</f>
        <v>2601809</v>
      </c>
      <c r="AH9" s="23">
        <f>SUM(AH3:AH8)</f>
        <v>2634737</v>
      </c>
      <c r="AI9" s="24">
        <f t="shared" si="10"/>
        <v>1.2655809861523272E-2</v>
      </c>
      <c r="AJ9" s="23">
        <f>SUM(AJ3:AJ8)</f>
        <v>2251394</v>
      </c>
      <c r="AK9" s="23">
        <f>SUM(AK3:AK8)</f>
        <v>2217847</v>
      </c>
      <c r="AL9" s="24">
        <f t="shared" si="11"/>
        <v>-1.490054606168445E-2</v>
      </c>
      <c r="AM9" s="20">
        <f t="shared" si="12"/>
        <v>2002689</v>
      </c>
      <c r="AN9" s="20">
        <f t="shared" si="12"/>
        <v>1897970</v>
      </c>
      <c r="AO9" s="24">
        <f t="shared" si="13"/>
        <v>-5.2289197174399019E-2</v>
      </c>
      <c r="AP9" s="26"/>
      <c r="AQ9" s="21"/>
    </row>
    <row r="10" spans="1:43" x14ac:dyDescent="0.35">
      <c r="A10" s="9" t="s">
        <v>61</v>
      </c>
      <c r="B10" s="10"/>
      <c r="C10" s="11"/>
      <c r="D10" s="11"/>
      <c r="E10" s="11"/>
      <c r="F10" s="11"/>
      <c r="G10" s="11"/>
      <c r="H10" s="11"/>
      <c r="I10" s="10"/>
      <c r="J10" s="10"/>
      <c r="K10" s="10"/>
      <c r="L10" s="10"/>
      <c r="M10" s="35"/>
      <c r="N10" s="39"/>
      <c r="O10" s="39" t="str">
        <f>IF(ROUNDDOWN((O9-E9)/E9*100,0)&gt;0,"+"&amp;ROUNDDOWN((O9-E9)/E9*100,0)&amp;"% /2025",ROUNDDOWN((O9-E9)/E9*100,0)&amp;"% /2025")</f>
        <v>+10% /2025</v>
      </c>
      <c r="P10" s="39"/>
      <c r="Q10" s="11"/>
      <c r="R10" s="11"/>
      <c r="S10" s="12"/>
      <c r="T10" s="12"/>
      <c r="U10" s="13"/>
      <c r="V10" s="13"/>
      <c r="W10" s="13"/>
      <c r="X10" s="13"/>
      <c r="Y10" s="13"/>
      <c r="Z10" s="12"/>
      <c r="AA10" s="11"/>
      <c r="AB10" s="11"/>
      <c r="AC10" s="12"/>
      <c r="AD10" s="11"/>
      <c r="AE10" s="11"/>
      <c r="AF10" s="12"/>
      <c r="AG10" s="11"/>
      <c r="AH10" s="11"/>
      <c r="AI10" s="12"/>
      <c r="AJ10" s="11"/>
      <c r="AK10" s="11"/>
      <c r="AL10" s="12"/>
      <c r="AM10" s="12"/>
      <c r="AN10" s="12"/>
      <c r="AO10" s="12"/>
      <c r="AP10" s="14"/>
      <c r="AQ10" s="21"/>
    </row>
    <row r="11" spans="1:43" x14ac:dyDescent="0.35">
      <c r="A11" s="8" t="s">
        <v>62</v>
      </c>
      <c r="B11" s="36" t="s">
        <v>63</v>
      </c>
      <c r="C11" s="15">
        <v>157127</v>
      </c>
      <c r="D11" s="15">
        <v>144000</v>
      </c>
      <c r="E11" s="15">
        <v>163251</v>
      </c>
      <c r="F11" s="15">
        <v>187000</v>
      </c>
      <c r="G11" s="15">
        <f t="shared" ref="G11:H17" si="15">E11*U11/X11</f>
        <v>23187.426033786887</v>
      </c>
      <c r="H11" s="15">
        <f t="shared" si="15"/>
        <v>26640.830947365765</v>
      </c>
      <c r="I11" s="8">
        <v>164000</v>
      </c>
      <c r="J11" s="8">
        <v>2</v>
      </c>
      <c r="K11" s="8">
        <v>1.05</v>
      </c>
      <c r="L11" s="16">
        <f t="shared" ref="L11:L17" si="16">MAX(K11, J11 - (V11 * (J11 - K11) / 100000))</f>
        <v>1.8926974999999999</v>
      </c>
      <c r="M11" s="37">
        <f>4224</f>
        <v>4224</v>
      </c>
      <c r="N11" s="15">
        <f t="shared" ref="N11:N17" si="17">IF(V11&gt;0,M11+L11*V11,0)</f>
        <v>25602.018262499998</v>
      </c>
      <c r="O11" s="15">
        <f t="shared" ref="O11:O17" si="18">IF(N11&gt;H11,H11,N11)</f>
        <v>25602.018262499998</v>
      </c>
      <c r="P11" s="27"/>
      <c r="Q11" s="15">
        <f t="shared" ref="Q11:Q17" si="19">O11+P11</f>
        <v>25602.018262499998</v>
      </c>
      <c r="R11" s="15">
        <f t="shared" ref="R11:R17" si="20">SUMIF(B:B,B11,Q:Q)</f>
        <v>141497.52127616666</v>
      </c>
      <c r="S11" s="17">
        <v>0.14549999999999999</v>
      </c>
      <c r="U11" s="18">
        <v>11754</v>
      </c>
      <c r="V11" s="18">
        <v>11295</v>
      </c>
      <c r="W11" s="19">
        <f>V11/8/36/12</f>
        <v>3.2682291666666665</v>
      </c>
      <c r="X11" s="18">
        <f t="shared" ref="X11:Y17" si="21">SUMIF($B$11:$B$40,$B11,U$11:U$40)</f>
        <v>82754</v>
      </c>
      <c r="Y11" s="18">
        <f t="shared" si="21"/>
        <v>79283</v>
      </c>
      <c r="Z11" s="17">
        <f t="shared" ref="Z11:Z17" si="22">IF(AND(ISNUMBER(U11), U11&gt;0), (V11-U11)/U11, "")</f>
        <v>-3.9050535987748852E-2</v>
      </c>
      <c r="AA11" s="15">
        <v>49299</v>
      </c>
      <c r="AB11" s="15">
        <f t="shared" ref="AB11:AB17" si="23">SUMIF(A:A,A11,Q:Q)</f>
        <v>165097.52127616666</v>
      </c>
      <c r="AC11" s="17">
        <v>0.12939999999999999</v>
      </c>
      <c r="AD11" s="15">
        <v>360491</v>
      </c>
      <c r="AE11" s="15">
        <v>429324</v>
      </c>
      <c r="AF11" s="17">
        <f t="shared" ref="AF11:AF18" si="24">(AE11-AD11)/AD11</f>
        <v>0.19094235362325274</v>
      </c>
      <c r="AG11" s="15">
        <v>413036</v>
      </c>
      <c r="AH11" s="15">
        <v>429324</v>
      </c>
      <c r="AI11" s="17">
        <f t="shared" ref="AI11:AI18" si="25">(AH11-AG11)/AG11</f>
        <v>3.9434819240937835E-2</v>
      </c>
      <c r="AJ11" s="15">
        <v>319297</v>
      </c>
      <c r="AK11" s="15">
        <v>367000</v>
      </c>
      <c r="AL11" s="17">
        <f t="shared" ref="AL11:AL18" si="26">(AK11-AJ11)/AJ11</f>
        <v>0.14940008831902585</v>
      </c>
      <c r="AM11" s="20">
        <f t="shared" ref="AM11:AN18" si="27">AG11-E11</f>
        <v>249785</v>
      </c>
      <c r="AN11" s="20">
        <f t="shared" si="27"/>
        <v>242324</v>
      </c>
      <c r="AO11" s="17">
        <f t="shared" ref="AO11:AO18" si="28">(AN11-AM11)/AM11</f>
        <v>-2.9869687931621196E-2</v>
      </c>
      <c r="AP11" s="21">
        <v>166</v>
      </c>
      <c r="AQ11" s="21">
        <v>166</v>
      </c>
    </row>
    <row r="12" spans="1:43" x14ac:dyDescent="0.35">
      <c r="A12" s="8" t="s">
        <v>48</v>
      </c>
      <c r="B12" s="36" t="s">
        <v>64</v>
      </c>
      <c r="C12" s="15">
        <v>59914</v>
      </c>
      <c r="D12" s="15">
        <v>95971</v>
      </c>
      <c r="E12" s="15">
        <v>78595</v>
      </c>
      <c r="F12" s="15">
        <v>80000</v>
      </c>
      <c r="G12" s="15">
        <f t="shared" si="15"/>
        <v>1601.2910730283502</v>
      </c>
      <c r="H12" s="15">
        <f t="shared" si="15"/>
        <v>2963.9592822425334</v>
      </c>
      <c r="I12" s="8">
        <v>80000</v>
      </c>
      <c r="J12" s="8">
        <v>2</v>
      </c>
      <c r="K12" s="8">
        <v>1.05</v>
      </c>
      <c r="L12" s="16">
        <f t="shared" si="16"/>
        <v>1.988486</v>
      </c>
      <c r="M12" s="37">
        <f>4224/4</f>
        <v>1056</v>
      </c>
      <c r="N12" s="15">
        <f t="shared" si="17"/>
        <v>3466.045032</v>
      </c>
      <c r="O12" s="15">
        <f t="shared" si="18"/>
        <v>2963.9592822425334</v>
      </c>
      <c r="Q12" s="15">
        <f t="shared" si="19"/>
        <v>2963.9592822425334</v>
      </c>
      <c r="R12" s="15">
        <f t="shared" si="20"/>
        <v>81347.415198909206</v>
      </c>
      <c r="S12" s="17">
        <v>1.7899999999999999E-2</v>
      </c>
      <c r="U12" s="18">
        <v>705</v>
      </c>
      <c r="V12" s="18">
        <v>1212</v>
      </c>
      <c r="W12" s="19">
        <f>V12/8/36/12</f>
        <v>0.35069444444444442</v>
      </c>
      <c r="X12" s="18">
        <f t="shared" si="21"/>
        <v>34603</v>
      </c>
      <c r="Y12" s="18">
        <f t="shared" si="21"/>
        <v>32713</v>
      </c>
      <c r="Z12" s="17">
        <f t="shared" si="22"/>
        <v>0.7191489361702128</v>
      </c>
      <c r="AA12" s="15">
        <v>8500</v>
      </c>
      <c r="AB12" s="15">
        <f t="shared" si="23"/>
        <v>174647.41519890921</v>
      </c>
      <c r="AC12" s="17">
        <v>6.0199999999999997E-2</v>
      </c>
      <c r="AD12" s="15">
        <v>193719</v>
      </c>
      <c r="AE12" s="15">
        <v>184266</v>
      </c>
      <c r="AF12" s="17">
        <f t="shared" si="24"/>
        <v>-4.8797485016957555E-2</v>
      </c>
      <c r="AG12" s="15">
        <v>186709</v>
      </c>
      <c r="AH12" s="15">
        <v>189195</v>
      </c>
      <c r="AI12" s="17">
        <f t="shared" si="25"/>
        <v>1.3314837527917775E-2</v>
      </c>
      <c r="AJ12" s="15">
        <v>151287</v>
      </c>
      <c r="AK12" s="15">
        <v>140985</v>
      </c>
      <c r="AL12" s="17">
        <f t="shared" si="26"/>
        <v>-6.8095738563128352E-2</v>
      </c>
      <c r="AM12" s="20">
        <f t="shared" si="27"/>
        <v>108114</v>
      </c>
      <c r="AN12" s="20">
        <f t="shared" si="27"/>
        <v>109195</v>
      </c>
      <c r="AO12" s="17">
        <f t="shared" si="28"/>
        <v>9.9987050705736529E-3</v>
      </c>
      <c r="AP12" s="21">
        <v>80</v>
      </c>
      <c r="AQ12" s="21">
        <v>83</v>
      </c>
    </row>
    <row r="13" spans="1:43" x14ac:dyDescent="0.35">
      <c r="A13" s="8" t="s">
        <v>58</v>
      </c>
      <c r="B13" s="36" t="s">
        <v>59</v>
      </c>
      <c r="C13" s="15">
        <v>56679</v>
      </c>
      <c r="D13" s="15">
        <v>136027</v>
      </c>
      <c r="E13" s="15">
        <v>95102</v>
      </c>
      <c r="F13" s="15">
        <v>114726</v>
      </c>
      <c r="G13" s="15">
        <f t="shared" si="15"/>
        <v>24859.159981768458</v>
      </c>
      <c r="H13" s="15">
        <f t="shared" si="15"/>
        <v>30772.272870043187</v>
      </c>
      <c r="I13" s="8" t="s">
        <v>129</v>
      </c>
      <c r="J13" s="8">
        <v>2</v>
      </c>
      <c r="K13" s="8">
        <v>1.05</v>
      </c>
      <c r="L13" s="16">
        <f t="shared" si="16"/>
        <v>1.9221189999999999</v>
      </c>
      <c r="M13" s="37">
        <f>4224</f>
        <v>4224</v>
      </c>
      <c r="N13" s="15">
        <f t="shared" si="17"/>
        <v>19981.531562</v>
      </c>
      <c r="O13" s="15">
        <f t="shared" si="18"/>
        <v>19981.531562</v>
      </c>
      <c r="Q13" s="15">
        <f t="shared" si="19"/>
        <v>19981.531562</v>
      </c>
      <c r="R13" s="15">
        <f t="shared" si="20"/>
        <v>152642.91105566666</v>
      </c>
      <c r="S13" s="17">
        <v>0.20630000000000001</v>
      </c>
      <c r="U13" s="18">
        <v>9176</v>
      </c>
      <c r="V13" s="18">
        <v>8198</v>
      </c>
      <c r="W13" s="19">
        <f>V13/8/36/12</f>
        <v>2.3721064814814814</v>
      </c>
      <c r="X13" s="18">
        <f t="shared" si="21"/>
        <v>35104</v>
      </c>
      <c r="Y13" s="18">
        <f t="shared" si="21"/>
        <v>30564</v>
      </c>
      <c r="Z13" s="17">
        <f t="shared" si="22"/>
        <v>-0.10658238884045336</v>
      </c>
      <c r="AA13" s="15">
        <v>-18107</v>
      </c>
      <c r="AB13" s="15">
        <f t="shared" si="23"/>
        <v>152642.91105566666</v>
      </c>
      <c r="AC13" s="17">
        <v>0.2833</v>
      </c>
      <c r="AD13" s="15">
        <v>219795</v>
      </c>
      <c r="AE13" s="15">
        <v>210679</v>
      </c>
      <c r="AF13" s="17">
        <f t="shared" si="24"/>
        <v>-4.1475010805523328E-2</v>
      </c>
      <c r="AG13" s="15">
        <v>201688</v>
      </c>
      <c r="AH13" s="15">
        <v>210679</v>
      </c>
      <c r="AI13" s="17">
        <f t="shared" si="25"/>
        <v>4.4578755305223913E-2</v>
      </c>
      <c r="AJ13" s="15">
        <v>171379</v>
      </c>
      <c r="AK13" s="15">
        <v>167441</v>
      </c>
      <c r="AL13" s="17">
        <f t="shared" si="26"/>
        <v>-2.2978311228330193E-2</v>
      </c>
      <c r="AM13" s="20">
        <f t="shared" si="27"/>
        <v>106586</v>
      </c>
      <c r="AN13" s="20">
        <f t="shared" si="27"/>
        <v>95953</v>
      </c>
      <c r="AO13" s="17">
        <f t="shared" si="28"/>
        <v>-9.975981836263674E-2</v>
      </c>
      <c r="AP13" s="21">
        <v>62</v>
      </c>
      <c r="AQ13" s="21">
        <v>74</v>
      </c>
    </row>
    <row r="14" spans="1:43" x14ac:dyDescent="0.35">
      <c r="A14" s="8" t="s">
        <v>65</v>
      </c>
      <c r="B14" s="36" t="s">
        <v>66</v>
      </c>
      <c r="C14" s="15">
        <v>130627</v>
      </c>
      <c r="D14" s="15">
        <v>90100</v>
      </c>
      <c r="E14" s="15">
        <v>102566</v>
      </c>
      <c r="F14" s="15">
        <v>135353</v>
      </c>
      <c r="G14" s="15">
        <f t="shared" si="15"/>
        <v>40920.905129246174</v>
      </c>
      <c r="H14" s="15">
        <f t="shared" si="15"/>
        <v>55597.282897338831</v>
      </c>
      <c r="I14" s="8" t="s">
        <v>130</v>
      </c>
      <c r="J14" s="8">
        <v>2</v>
      </c>
      <c r="K14" s="8">
        <v>1.05</v>
      </c>
      <c r="L14" s="16">
        <f t="shared" si="16"/>
        <v>1.8618699999999999</v>
      </c>
      <c r="M14" s="37">
        <f>4224</f>
        <v>4224</v>
      </c>
      <c r="N14" s="15">
        <f t="shared" si="17"/>
        <v>31295.589799999998</v>
      </c>
      <c r="O14" s="15">
        <f t="shared" si="18"/>
        <v>31295.589799999998</v>
      </c>
      <c r="Q14" s="15">
        <f t="shared" si="19"/>
        <v>31295.589799999998</v>
      </c>
      <c r="R14" s="15">
        <f t="shared" si="20"/>
        <v>100798.92258033331</v>
      </c>
      <c r="S14" s="17">
        <v>0.31969999999999998</v>
      </c>
      <c r="U14" s="18">
        <v>14740</v>
      </c>
      <c r="V14" s="18">
        <v>14540</v>
      </c>
      <c r="W14" s="19">
        <f>V14/8/36/12</f>
        <v>4.2071759259259265</v>
      </c>
      <c r="X14" s="18">
        <f t="shared" si="21"/>
        <v>36945</v>
      </c>
      <c r="Y14" s="18">
        <f t="shared" si="21"/>
        <v>35398</v>
      </c>
      <c r="Z14" s="17">
        <f t="shared" si="22"/>
        <v>-1.3568521031207599E-2</v>
      </c>
      <c r="AA14" s="15">
        <v>-8000</v>
      </c>
      <c r="AB14" s="15">
        <f t="shared" si="23"/>
        <v>100798.92258033331</v>
      </c>
      <c r="AC14" s="17">
        <v>0.315</v>
      </c>
      <c r="AD14" s="15">
        <v>205403</v>
      </c>
      <c r="AE14" s="15">
        <v>232844</v>
      </c>
      <c r="AF14" s="17">
        <f t="shared" si="24"/>
        <v>0.1335959065836429</v>
      </c>
      <c r="AG14" s="15">
        <v>197275</v>
      </c>
      <c r="AH14" s="15">
        <v>232594</v>
      </c>
      <c r="AI14" s="17">
        <f t="shared" si="25"/>
        <v>0.17903434292231657</v>
      </c>
      <c r="AJ14" s="15">
        <v>153394</v>
      </c>
      <c r="AK14" s="15">
        <v>178453</v>
      </c>
      <c r="AL14" s="17">
        <f t="shared" si="26"/>
        <v>0.16336362569592031</v>
      </c>
      <c r="AM14" s="20">
        <f t="shared" si="27"/>
        <v>94709</v>
      </c>
      <c r="AN14" s="20">
        <f t="shared" si="27"/>
        <v>97241</v>
      </c>
      <c r="AO14" s="17">
        <f t="shared" si="28"/>
        <v>2.6734523646115997E-2</v>
      </c>
      <c r="AP14" s="21">
        <v>94</v>
      </c>
      <c r="AQ14" s="21">
        <v>94</v>
      </c>
    </row>
    <row r="15" spans="1:43" x14ac:dyDescent="0.35">
      <c r="A15" s="8" t="s">
        <v>50</v>
      </c>
      <c r="B15" s="36" t="s">
        <v>68</v>
      </c>
      <c r="C15" s="15">
        <v>52000</v>
      </c>
      <c r="D15" s="15">
        <v>110000</v>
      </c>
      <c r="E15" s="15">
        <v>152000</v>
      </c>
      <c r="F15" s="15">
        <v>178000</v>
      </c>
      <c r="G15" s="15">
        <f t="shared" si="15"/>
        <v>87612.156474374846</v>
      </c>
      <c r="H15" s="15">
        <f t="shared" si="15"/>
        <v>105006.74680753713</v>
      </c>
      <c r="I15" s="8">
        <v>150000</v>
      </c>
      <c r="J15" s="8">
        <v>2</v>
      </c>
      <c r="K15" s="8">
        <v>1.05</v>
      </c>
      <c r="L15" s="16">
        <f t="shared" si="16"/>
        <v>1.326336</v>
      </c>
      <c r="M15" s="37">
        <f>4224*3</f>
        <v>12672</v>
      </c>
      <c r="N15" s="15">
        <f t="shared" si="17"/>
        <v>106725.13843199999</v>
      </c>
      <c r="O15" s="15">
        <f t="shared" si="18"/>
        <v>105006.74680753713</v>
      </c>
      <c r="Q15" s="15">
        <f t="shared" si="19"/>
        <v>105006.74680753713</v>
      </c>
      <c r="R15" s="15">
        <f t="shared" si="20"/>
        <v>178000</v>
      </c>
      <c r="S15" s="17">
        <v>0.1711</v>
      </c>
      <c r="U15" s="18">
        <f>12700+32700+29098</f>
        <v>74498</v>
      </c>
      <c r="V15" s="18">
        <f>120205-14236-35057</f>
        <v>70912</v>
      </c>
      <c r="W15" s="19">
        <f>V15/18/36/12</f>
        <v>9.1193415637860085</v>
      </c>
      <c r="X15" s="18">
        <f t="shared" si="21"/>
        <v>129248</v>
      </c>
      <c r="Y15" s="18">
        <f t="shared" si="21"/>
        <v>120205</v>
      </c>
      <c r="Z15" s="17">
        <f t="shared" si="22"/>
        <v>-4.8135520416655482E-2</v>
      </c>
      <c r="AA15" s="15">
        <v>-5685</v>
      </c>
      <c r="AB15" s="15">
        <f t="shared" si="23"/>
        <v>676484.10167466663</v>
      </c>
      <c r="AC15" s="17">
        <v>0.1951</v>
      </c>
      <c r="AD15" s="15">
        <v>437530</v>
      </c>
      <c r="AE15" s="15">
        <v>482674</v>
      </c>
      <c r="AF15" s="17">
        <f t="shared" si="24"/>
        <v>0.10317921056841817</v>
      </c>
      <c r="AG15" s="15">
        <v>431845</v>
      </c>
      <c r="AH15" s="15">
        <v>483335</v>
      </c>
      <c r="AI15" s="17">
        <f t="shared" si="25"/>
        <v>0.11923259502830877</v>
      </c>
      <c r="AJ15" s="15">
        <v>343438</v>
      </c>
      <c r="AK15" s="15">
        <v>383460</v>
      </c>
      <c r="AL15" s="17">
        <f t="shared" si="26"/>
        <v>0.11653340632079152</v>
      </c>
      <c r="AM15" s="20">
        <f t="shared" si="27"/>
        <v>279845</v>
      </c>
      <c r="AN15" s="20">
        <f t="shared" si="27"/>
        <v>305335</v>
      </c>
      <c r="AO15" s="17">
        <f t="shared" si="28"/>
        <v>9.1086136968679093E-2</v>
      </c>
      <c r="AP15" s="21">
        <v>148</v>
      </c>
      <c r="AQ15" s="21">
        <v>182</v>
      </c>
    </row>
    <row r="16" spans="1:43" x14ac:dyDescent="0.35">
      <c r="A16" s="8" t="s">
        <v>55</v>
      </c>
      <c r="B16" s="36" t="s">
        <v>69</v>
      </c>
      <c r="C16" s="15">
        <v>220000</v>
      </c>
      <c r="D16" s="15">
        <v>158000</v>
      </c>
      <c r="E16" s="15">
        <v>140000</v>
      </c>
      <c r="F16" s="15">
        <v>155000</v>
      </c>
      <c r="G16" s="15">
        <f t="shared" si="15"/>
        <v>24254.423957431012</v>
      </c>
      <c r="H16" s="15">
        <f t="shared" si="15"/>
        <v>28801.175850597807</v>
      </c>
      <c r="I16" s="8">
        <v>155000</v>
      </c>
      <c r="J16" s="8">
        <v>2</v>
      </c>
      <c r="K16" s="8">
        <v>1.05</v>
      </c>
      <c r="L16" s="16">
        <f t="shared" si="16"/>
        <v>1.8928115000000001</v>
      </c>
      <c r="M16" s="37">
        <f>4224*2</f>
        <v>8448</v>
      </c>
      <c r="N16" s="15">
        <f t="shared" si="17"/>
        <v>29804.592154500002</v>
      </c>
      <c r="O16" s="15">
        <f t="shared" si="18"/>
        <v>28801.175850597807</v>
      </c>
      <c r="Q16" s="15">
        <f t="shared" si="19"/>
        <v>28801.175850597807</v>
      </c>
      <c r="R16" s="15">
        <f t="shared" si="20"/>
        <v>148852.20888193115</v>
      </c>
      <c r="S16" s="17">
        <v>0.1071</v>
      </c>
      <c r="U16" s="18">
        <v>11200</v>
      </c>
      <c r="V16" s="18">
        <f>3575+7708</f>
        <v>11283</v>
      </c>
      <c r="W16" s="19">
        <f>V16/16/36/12</f>
        <v>1.6323784722222223</v>
      </c>
      <c r="X16" s="18">
        <f t="shared" si="21"/>
        <v>64648</v>
      </c>
      <c r="Y16" s="18">
        <f t="shared" si="21"/>
        <v>60722</v>
      </c>
      <c r="Z16" s="17">
        <f t="shared" si="22"/>
        <v>7.4107142857142861E-3</v>
      </c>
      <c r="AA16" s="15">
        <v>-387</v>
      </c>
      <c r="AB16" s="15">
        <f t="shared" si="23"/>
        <v>349257.9793152645</v>
      </c>
      <c r="AC16" s="17">
        <v>4.8000000000000001E-2</v>
      </c>
      <c r="AD16" s="15">
        <v>313138</v>
      </c>
      <c r="AE16" s="15">
        <v>330159</v>
      </c>
      <c r="AF16" s="17">
        <f t="shared" si="24"/>
        <v>5.4356226328328087E-2</v>
      </c>
      <c r="AG16" s="15">
        <v>301642</v>
      </c>
      <c r="AH16" s="15">
        <v>293859</v>
      </c>
      <c r="AI16" s="17">
        <f t="shared" si="25"/>
        <v>-2.5802109785772537E-2</v>
      </c>
      <c r="AJ16" s="15">
        <v>255189</v>
      </c>
      <c r="AK16" s="15">
        <v>251217</v>
      </c>
      <c r="AL16" s="17">
        <f t="shared" si="26"/>
        <v>-1.5564934225221306E-2</v>
      </c>
      <c r="AM16" s="20">
        <f t="shared" si="27"/>
        <v>161642</v>
      </c>
      <c r="AN16" s="20">
        <f t="shared" si="27"/>
        <v>138859</v>
      </c>
      <c r="AO16" s="17">
        <f t="shared" si="28"/>
        <v>-0.1409472785538412</v>
      </c>
      <c r="AP16" s="21">
        <v>71</v>
      </c>
      <c r="AQ16" s="21">
        <v>127</v>
      </c>
    </row>
    <row r="17" spans="1:43" x14ac:dyDescent="0.35">
      <c r="A17" s="8" t="s">
        <v>55</v>
      </c>
      <c r="B17" s="36" t="s">
        <v>70</v>
      </c>
      <c r="C17" s="15">
        <v>5000</v>
      </c>
      <c r="D17" s="15">
        <v>50697</v>
      </c>
      <c r="E17" s="15">
        <v>59698</v>
      </c>
      <c r="F17" s="15">
        <v>62200</v>
      </c>
      <c r="G17" s="15">
        <f t="shared" si="15"/>
        <v>48450.387176045821</v>
      </c>
      <c r="H17" s="15">
        <f t="shared" si="15"/>
        <v>48519.572398452932</v>
      </c>
      <c r="I17" s="8">
        <v>59698</v>
      </c>
      <c r="J17" s="8">
        <v>2</v>
      </c>
      <c r="K17" s="8">
        <v>1.05</v>
      </c>
      <c r="L17" s="16">
        <f t="shared" si="16"/>
        <v>1.5535665000000001</v>
      </c>
      <c r="M17" s="37">
        <f>4224*3</f>
        <v>12672</v>
      </c>
      <c r="N17" s="15">
        <f t="shared" si="17"/>
        <v>85678.75053450001</v>
      </c>
      <c r="O17" s="15">
        <f t="shared" si="18"/>
        <v>48519.572398452932</v>
      </c>
      <c r="Q17" s="15">
        <f t="shared" si="19"/>
        <v>48519.572398452932</v>
      </c>
      <c r="R17" s="15">
        <f t="shared" si="20"/>
        <v>62200</v>
      </c>
      <c r="S17" s="17">
        <v>4.19E-2</v>
      </c>
      <c r="U17" s="18">
        <f>5538+19928+17468</f>
        <v>42934</v>
      </c>
      <c r="V17" s="18">
        <f>6210+26197+14586</f>
        <v>46993</v>
      </c>
      <c r="W17" s="19">
        <f>V17/8/36/12</f>
        <v>13.597511574074074</v>
      </c>
      <c r="X17" s="18">
        <f t="shared" si="21"/>
        <v>52901</v>
      </c>
      <c r="Y17" s="18">
        <f t="shared" si="21"/>
        <v>60243</v>
      </c>
      <c r="Z17" s="17">
        <f t="shared" si="22"/>
        <v>9.4540457446312939E-2</v>
      </c>
      <c r="AA17" s="15">
        <v>2987</v>
      </c>
      <c r="AB17" s="15">
        <f t="shared" si="23"/>
        <v>349257.9793152645</v>
      </c>
      <c r="AC17" s="17">
        <v>4.8000000000000001E-2</v>
      </c>
      <c r="AD17" s="15">
        <v>172368</v>
      </c>
      <c r="AE17" s="15">
        <v>176000</v>
      </c>
      <c r="AF17" s="17">
        <f t="shared" si="24"/>
        <v>2.1071196509793E-2</v>
      </c>
      <c r="AG17" s="15">
        <v>175355</v>
      </c>
      <c r="AH17" s="15">
        <v>176000</v>
      </c>
      <c r="AI17" s="17">
        <f t="shared" si="25"/>
        <v>3.6782526874055486E-3</v>
      </c>
      <c r="AJ17" s="15">
        <v>98317</v>
      </c>
      <c r="AK17" s="15">
        <v>101000</v>
      </c>
      <c r="AL17" s="17">
        <f t="shared" si="26"/>
        <v>2.7289278558133383E-2</v>
      </c>
      <c r="AM17" s="20">
        <f t="shared" si="27"/>
        <v>115657</v>
      </c>
      <c r="AN17" s="20">
        <f t="shared" si="27"/>
        <v>113800</v>
      </c>
      <c r="AO17" s="17">
        <f t="shared" si="28"/>
        <v>-1.6056096907234321E-2</v>
      </c>
      <c r="AP17" s="21">
        <v>92</v>
      </c>
      <c r="AQ17" s="21">
        <v>134</v>
      </c>
    </row>
    <row r="18" spans="1:43" x14ac:dyDescent="0.35">
      <c r="A18" s="22" t="s">
        <v>60</v>
      </c>
      <c r="B18" s="22" t="s">
        <v>72</v>
      </c>
      <c r="C18" s="23">
        <f t="shared" ref="C18:I18" si="29">SUM(C11:C17)</f>
        <v>681347</v>
      </c>
      <c r="D18" s="23">
        <f t="shared" si="29"/>
        <v>784795</v>
      </c>
      <c r="E18" s="23">
        <f t="shared" si="29"/>
        <v>791212</v>
      </c>
      <c r="F18" s="23">
        <f t="shared" si="29"/>
        <v>912279</v>
      </c>
      <c r="G18" s="23">
        <f t="shared" si="29"/>
        <v>250885.74982568156</v>
      </c>
      <c r="H18" s="23">
        <f t="shared" si="29"/>
        <v>298301.84105357819</v>
      </c>
      <c r="I18" s="23">
        <f t="shared" si="29"/>
        <v>608698</v>
      </c>
      <c r="J18" s="23"/>
      <c r="K18" s="23"/>
      <c r="L18" s="23">
        <f>SUM(L11:L17)</f>
        <v>12.437886499999999</v>
      </c>
      <c r="M18" s="38"/>
      <c r="N18" s="23">
        <f>SUM(N11:N17)</f>
        <v>302553.66577750002</v>
      </c>
      <c r="O18" s="23">
        <f>SUM(O11:O17)</f>
        <v>262170.59396333038</v>
      </c>
      <c r="P18" s="23">
        <f>SUM(P11:P17)</f>
        <v>0</v>
      </c>
      <c r="Q18" s="23">
        <f>SUM(Q11:Q17)</f>
        <v>262170.59396333038</v>
      </c>
      <c r="R18" s="23">
        <f>SUM(R11:R17)</f>
        <v>865338.97899300698</v>
      </c>
      <c r="S18" s="24">
        <f>IF(E18&gt;0,(F18-E18)/E18,"")</f>
        <v>0.15301461555183693</v>
      </c>
      <c r="T18" s="24"/>
      <c r="U18" s="25">
        <f>SUM(U11:U17)</f>
        <v>165007</v>
      </c>
      <c r="V18" s="25">
        <f>SUM(V11:V17)</f>
        <v>164433</v>
      </c>
      <c r="W18" s="25"/>
      <c r="X18" s="25">
        <f>SUM(X11:X17)</f>
        <v>436203</v>
      </c>
      <c r="Y18" s="25">
        <f>SUM(Y11:Y17)</f>
        <v>419128</v>
      </c>
      <c r="Z18" s="24">
        <f>IF(U18&gt;0,(V18-U18)/U18,"")</f>
        <v>-3.4786403001084805E-3</v>
      </c>
      <c r="AA18" s="23">
        <f>SUM(AA11:AA17)</f>
        <v>28607</v>
      </c>
      <c r="AB18" s="23">
        <f>SUM(AB11:AB17)</f>
        <v>1968186.8304162715</v>
      </c>
      <c r="AC18" s="17">
        <v>4.8000000000000001E-2</v>
      </c>
      <c r="AD18" s="23">
        <f>SUM(AD11:AD17)</f>
        <v>1902444</v>
      </c>
      <c r="AE18" s="23">
        <f>SUM(AE11:AE17)</f>
        <v>2045946</v>
      </c>
      <c r="AF18" s="24">
        <f t="shared" si="24"/>
        <v>7.5430341182184599E-2</v>
      </c>
      <c r="AG18" s="23">
        <f>SUM(AG11:AG17)</f>
        <v>1907550</v>
      </c>
      <c r="AH18" s="23">
        <f>SUM(AH11:AH17)</f>
        <v>2014986</v>
      </c>
      <c r="AI18" s="24">
        <f t="shared" si="25"/>
        <v>5.6321459463709991E-2</v>
      </c>
      <c r="AJ18" s="23">
        <f>SUM(AJ11:AJ17)</f>
        <v>1492301</v>
      </c>
      <c r="AK18" s="23">
        <f>SUM(AK11:AK17)</f>
        <v>1589556</v>
      </c>
      <c r="AL18" s="24">
        <f t="shared" si="26"/>
        <v>6.5171168551116695E-2</v>
      </c>
      <c r="AM18" s="20">
        <f t="shared" si="27"/>
        <v>1116338</v>
      </c>
      <c r="AN18" s="20">
        <f t="shared" si="27"/>
        <v>1102707</v>
      </c>
      <c r="AO18" s="24">
        <f t="shared" si="28"/>
        <v>-1.2210459556155932E-2</v>
      </c>
      <c r="AP18" s="26"/>
      <c r="AQ18" s="21"/>
    </row>
    <row r="19" spans="1:43" x14ac:dyDescent="0.35">
      <c r="A19" s="9" t="s">
        <v>73</v>
      </c>
      <c r="B19" s="10"/>
      <c r="C19" s="11"/>
      <c r="D19" s="11"/>
      <c r="E19" s="11"/>
      <c r="F19" s="11"/>
      <c r="G19" s="11"/>
      <c r="H19" s="11"/>
      <c r="I19" s="10"/>
      <c r="J19" s="10"/>
      <c r="K19" s="10"/>
      <c r="L19" s="10"/>
      <c r="M19" s="35"/>
      <c r="N19" s="39"/>
      <c r="O19" s="39" t="str">
        <f>IF(ROUNDDOWN((O9-(E9*U9/X9))/(E9*U9/X9)*100,0)&gt;0,"+"&amp;ROUNDDOWN((O9-(E9*U9/X9))/(E9*U9/X9)*100,0)&amp;"% /2025",ROUNDDOWN((O9-(E9*U9/X9))/(E9*U9/X9)*100,0)&amp;"% /2025")</f>
        <v>+10% /2025</v>
      </c>
      <c r="P19" s="39"/>
      <c r="Q19" s="11"/>
      <c r="R19" s="11"/>
      <c r="S19" s="12"/>
      <c r="T19" s="12"/>
      <c r="U19" s="13"/>
      <c r="V19" s="13"/>
      <c r="W19" s="13"/>
      <c r="X19" s="13"/>
      <c r="Y19" s="13"/>
      <c r="Z19" s="12"/>
      <c r="AA19" s="11"/>
      <c r="AB19" s="11"/>
      <c r="AC19" s="12"/>
      <c r="AD19" s="11"/>
      <c r="AE19" s="11"/>
      <c r="AF19" s="12"/>
      <c r="AG19" s="11"/>
      <c r="AH19" s="11"/>
      <c r="AI19" s="12"/>
      <c r="AJ19" s="11"/>
      <c r="AK19" s="11"/>
      <c r="AL19" s="12"/>
      <c r="AM19" s="12"/>
      <c r="AN19" s="12"/>
      <c r="AO19" s="12"/>
      <c r="AP19" s="14"/>
      <c r="AQ19" s="21"/>
    </row>
    <row r="20" spans="1:43" x14ac:dyDescent="0.35">
      <c r="A20" s="8" t="s">
        <v>62</v>
      </c>
      <c r="B20" s="36" t="s">
        <v>63</v>
      </c>
      <c r="C20" s="15">
        <v>157127</v>
      </c>
      <c r="D20" s="15">
        <v>144000</v>
      </c>
      <c r="E20" s="15">
        <v>163251</v>
      </c>
      <c r="F20" s="15">
        <v>187000</v>
      </c>
      <c r="G20" s="15">
        <f t="shared" ref="G20:G28" si="30">E20*U20/X20</f>
        <v>33921.030342944148</v>
      </c>
      <c r="H20" s="15">
        <f t="shared" ref="H20:H28" si="31">F20*V20/Y20</f>
        <v>40608.692910207734</v>
      </c>
      <c r="I20" s="8">
        <v>164000</v>
      </c>
      <c r="J20" s="8">
        <v>2.1</v>
      </c>
      <c r="K20" s="8">
        <v>1.1000000000000001</v>
      </c>
      <c r="L20" s="16">
        <f t="shared" ref="L20:L28" si="32">MAX(K20, J20 - (V20 * (J20 - K20) / 20000))</f>
        <v>1.23915</v>
      </c>
      <c r="M20" s="37">
        <v>5280</v>
      </c>
      <c r="N20" s="15">
        <f t="shared" ref="N20:N28" si="33">IF(V20&gt;0,M20+L20*V20,0)</f>
        <v>26614.44555</v>
      </c>
      <c r="O20" s="15">
        <f t="shared" ref="O20:O28" si="34">IF(N20&gt;H20,H20,N20)</f>
        <v>26614.44555</v>
      </c>
      <c r="Q20" s="15">
        <f t="shared" ref="Q20:Q28" si="35">O20+P20</f>
        <v>26614.44555</v>
      </c>
      <c r="R20" s="15">
        <f t="shared" ref="R20:R28" si="36">SUMIF(B:B,B20,Q:Q)</f>
        <v>141497.52127616666</v>
      </c>
      <c r="S20" s="17">
        <v>0.14549999999999999</v>
      </c>
      <c r="U20" s="18">
        <v>17195</v>
      </c>
      <c r="V20" s="18">
        <v>17217</v>
      </c>
      <c r="X20" s="18">
        <f t="shared" ref="X20:X28" si="37">SUMIF($B$11:$B$40,$B20,U$11:U$40)</f>
        <v>82754</v>
      </c>
      <c r="Y20" s="18">
        <f t="shared" ref="Y20:Y28" si="38">SUMIF($B$11:$B$40,$B20,V$11:V$40)</f>
        <v>79283</v>
      </c>
      <c r="Z20" s="17">
        <f t="shared" ref="Z20:Z28" si="39">IF(AND(ISNUMBER(U20), U20&gt;0), (V20-U20)/U20, "")</f>
        <v>1.2794416981680721E-3</v>
      </c>
      <c r="AA20" s="15">
        <f>AA11</f>
        <v>49299</v>
      </c>
      <c r="AB20" s="15">
        <f t="shared" ref="AB20:AB28" si="40">SUMIF(A:A,A20,Q:Q)</f>
        <v>165097.52127616666</v>
      </c>
      <c r="AC20" s="17">
        <v>0.12939999999999999</v>
      </c>
      <c r="AD20" s="15">
        <v>360491</v>
      </c>
      <c r="AE20" s="15">
        <v>429324</v>
      </c>
      <c r="AF20" s="17">
        <f t="shared" ref="AF20:AF29" si="41">(AE20-AD20)/AD20</f>
        <v>0.19094235362325274</v>
      </c>
      <c r="AG20" s="15">
        <v>413036</v>
      </c>
      <c r="AH20" s="15">
        <v>429324</v>
      </c>
      <c r="AI20" s="17">
        <f t="shared" ref="AI20:AI29" si="42">(AH20-AG20)/AG20</f>
        <v>3.9434819240937835E-2</v>
      </c>
      <c r="AJ20" s="15">
        <v>319297</v>
      </c>
      <c r="AK20" s="15">
        <v>367000</v>
      </c>
      <c r="AL20" s="17">
        <f t="shared" ref="AL20:AL29" si="43">(AK20-AJ20)/AJ20</f>
        <v>0.14940008831902585</v>
      </c>
      <c r="AM20" s="20">
        <f t="shared" ref="AM20:AM29" si="44">AG20-E20</f>
        <v>249785</v>
      </c>
      <c r="AN20" s="20">
        <f t="shared" ref="AN20:AN29" si="45">AH20-F20</f>
        <v>242324</v>
      </c>
      <c r="AO20" s="17">
        <f t="shared" ref="AO20:AO29" si="46">(AN20-AM20)/AM20</f>
        <v>-2.9869687931621196E-2</v>
      </c>
      <c r="AP20" s="21">
        <v>166</v>
      </c>
      <c r="AQ20" s="21">
        <v>166</v>
      </c>
    </row>
    <row r="21" spans="1:43" x14ac:dyDescent="0.35">
      <c r="A21" s="8" t="s">
        <v>48</v>
      </c>
      <c r="B21" s="36" t="s">
        <v>64</v>
      </c>
      <c r="C21" s="15">
        <v>59914</v>
      </c>
      <c r="D21" s="15">
        <v>95971</v>
      </c>
      <c r="E21" s="15">
        <v>78595</v>
      </c>
      <c r="F21" s="15">
        <v>80000</v>
      </c>
      <c r="G21" s="15">
        <f t="shared" si="30"/>
        <v>19528.937086379792</v>
      </c>
      <c r="H21" s="15">
        <f t="shared" si="31"/>
        <v>21107.205086662794</v>
      </c>
      <c r="I21" s="8">
        <v>80000</v>
      </c>
      <c r="J21" s="8">
        <v>2.1</v>
      </c>
      <c r="K21" s="8">
        <v>1.1000000000000001</v>
      </c>
      <c r="L21" s="16">
        <f t="shared" si="32"/>
        <v>1.66845</v>
      </c>
      <c r="M21" s="37">
        <v>5280</v>
      </c>
      <c r="N21" s="15">
        <f t="shared" si="33"/>
        <v>19680.391949999997</v>
      </c>
      <c r="O21" s="15">
        <f t="shared" si="34"/>
        <v>19680.391949999997</v>
      </c>
      <c r="Q21" s="15">
        <f t="shared" si="35"/>
        <v>19680.391949999997</v>
      </c>
      <c r="R21" s="15">
        <f t="shared" si="36"/>
        <v>81347.415198909206</v>
      </c>
      <c r="S21" s="17">
        <v>1.7899999999999999E-2</v>
      </c>
      <c r="U21" s="18">
        <v>8598</v>
      </c>
      <c r="V21" s="18">
        <v>8631</v>
      </c>
      <c r="X21" s="18">
        <f t="shared" si="37"/>
        <v>34603</v>
      </c>
      <c r="Y21" s="18">
        <f t="shared" si="38"/>
        <v>32713</v>
      </c>
      <c r="Z21" s="17">
        <f t="shared" si="39"/>
        <v>3.8381018841591066E-3</v>
      </c>
      <c r="AA21" s="15">
        <f>AA12</f>
        <v>8500</v>
      </c>
      <c r="AB21" s="15">
        <f t="shared" si="40"/>
        <v>174647.41519890921</v>
      </c>
      <c r="AC21" s="17">
        <v>6.0199999999999997E-2</v>
      </c>
      <c r="AD21" s="15">
        <v>193719</v>
      </c>
      <c r="AE21" s="15">
        <v>184266</v>
      </c>
      <c r="AF21" s="17">
        <f t="shared" si="41"/>
        <v>-4.8797485016957555E-2</v>
      </c>
      <c r="AG21" s="15">
        <v>186709</v>
      </c>
      <c r="AH21" s="15">
        <v>189195</v>
      </c>
      <c r="AI21" s="17">
        <f t="shared" si="42"/>
        <v>1.3314837527917775E-2</v>
      </c>
      <c r="AJ21" s="15">
        <v>151287</v>
      </c>
      <c r="AK21" s="15">
        <v>140985</v>
      </c>
      <c r="AL21" s="17">
        <f t="shared" si="43"/>
        <v>-6.8095738563128352E-2</v>
      </c>
      <c r="AM21" s="20">
        <f t="shared" si="44"/>
        <v>108114</v>
      </c>
      <c r="AN21" s="20">
        <f t="shared" si="45"/>
        <v>109195</v>
      </c>
      <c r="AO21" s="17">
        <f t="shared" si="46"/>
        <v>9.9987050705736529E-3</v>
      </c>
      <c r="AP21" s="21">
        <v>80</v>
      </c>
      <c r="AQ21" s="21">
        <v>83</v>
      </c>
    </row>
    <row r="22" spans="1:43" x14ac:dyDescent="0.35">
      <c r="A22" s="8" t="s">
        <v>58</v>
      </c>
      <c r="B22" s="36" t="s">
        <v>59</v>
      </c>
      <c r="C22" s="15">
        <v>56679</v>
      </c>
      <c r="D22" s="15">
        <v>136027</v>
      </c>
      <c r="E22" s="15">
        <v>95102</v>
      </c>
      <c r="F22" s="15">
        <v>114726</v>
      </c>
      <c r="G22" s="15">
        <f t="shared" si="30"/>
        <v>21153.042844120329</v>
      </c>
      <c r="H22" s="15">
        <f t="shared" si="31"/>
        <v>26369.262858264625</v>
      </c>
      <c r="I22" s="8" t="s">
        <v>129</v>
      </c>
      <c r="J22" s="8">
        <v>2.1</v>
      </c>
      <c r="K22" s="8">
        <v>1.1000000000000001</v>
      </c>
      <c r="L22" s="16">
        <f t="shared" si="32"/>
        <v>1.74875</v>
      </c>
      <c r="M22" s="37">
        <v>5280</v>
      </c>
      <c r="N22" s="15">
        <f t="shared" si="33"/>
        <v>17564.96875</v>
      </c>
      <c r="O22" s="15">
        <f t="shared" si="34"/>
        <v>17564.96875</v>
      </c>
      <c r="Q22" s="15">
        <f t="shared" si="35"/>
        <v>17564.96875</v>
      </c>
      <c r="R22" s="15">
        <f t="shared" si="36"/>
        <v>152642.91105566666</v>
      </c>
      <c r="S22" s="17">
        <v>0.20630000000000001</v>
      </c>
      <c r="U22" s="18">
        <v>7808</v>
      </c>
      <c r="V22" s="18">
        <v>7025</v>
      </c>
      <c r="X22" s="18">
        <f t="shared" si="37"/>
        <v>35104</v>
      </c>
      <c r="Y22" s="18">
        <f t="shared" si="38"/>
        <v>30564</v>
      </c>
      <c r="Z22" s="17">
        <f t="shared" si="39"/>
        <v>-0.10028176229508197</v>
      </c>
      <c r="AA22" s="15">
        <f>AA13</f>
        <v>-18107</v>
      </c>
      <c r="AB22" s="15">
        <f t="shared" si="40"/>
        <v>152642.91105566666</v>
      </c>
      <c r="AC22" s="17">
        <v>0.2833</v>
      </c>
      <c r="AD22" s="15">
        <v>219795</v>
      </c>
      <c r="AE22" s="15">
        <v>210679</v>
      </c>
      <c r="AF22" s="17">
        <f t="shared" si="41"/>
        <v>-4.1475010805523328E-2</v>
      </c>
      <c r="AG22" s="15">
        <v>201688</v>
      </c>
      <c r="AH22" s="15">
        <v>210679</v>
      </c>
      <c r="AI22" s="17">
        <f t="shared" si="42"/>
        <v>4.4578755305223913E-2</v>
      </c>
      <c r="AJ22" s="15">
        <v>171379</v>
      </c>
      <c r="AK22" s="15">
        <v>167441</v>
      </c>
      <c r="AL22" s="17">
        <f t="shared" si="43"/>
        <v>-2.2978311228330193E-2</v>
      </c>
      <c r="AM22" s="20">
        <f t="shared" si="44"/>
        <v>106586</v>
      </c>
      <c r="AN22" s="20">
        <f t="shared" si="45"/>
        <v>95953</v>
      </c>
      <c r="AO22" s="17">
        <f t="shared" si="46"/>
        <v>-9.975981836263674E-2</v>
      </c>
      <c r="AP22" s="21">
        <v>62</v>
      </c>
      <c r="AQ22" s="21">
        <v>74</v>
      </c>
    </row>
    <row r="23" spans="1:43" x14ac:dyDescent="0.35">
      <c r="A23" s="8" t="s">
        <v>65</v>
      </c>
      <c r="B23" s="36" t="s">
        <v>66</v>
      </c>
      <c r="C23" s="15">
        <v>130627</v>
      </c>
      <c r="D23" s="15">
        <v>90100</v>
      </c>
      <c r="E23" s="15">
        <v>102566</v>
      </c>
      <c r="F23" s="15">
        <v>135353</v>
      </c>
      <c r="G23" s="15">
        <f t="shared" si="30"/>
        <v>13095.244877520639</v>
      </c>
      <c r="H23" s="15">
        <f t="shared" si="31"/>
        <v>19420.811543025029</v>
      </c>
      <c r="I23" s="8" t="s">
        <v>130</v>
      </c>
      <c r="J23" s="8">
        <v>2.1</v>
      </c>
      <c r="K23" s="8">
        <v>1.1000000000000001</v>
      </c>
      <c r="L23" s="16">
        <f t="shared" si="32"/>
        <v>1.84605</v>
      </c>
      <c r="M23" s="37">
        <v>5280</v>
      </c>
      <c r="N23" s="15">
        <f t="shared" si="33"/>
        <v>14656.087949999999</v>
      </c>
      <c r="O23" s="15">
        <f t="shared" si="34"/>
        <v>14656.087949999999</v>
      </c>
      <c r="Q23" s="15">
        <f t="shared" si="35"/>
        <v>14656.087949999999</v>
      </c>
      <c r="R23" s="15">
        <f t="shared" si="36"/>
        <v>100798.92258033331</v>
      </c>
      <c r="S23" s="17">
        <v>0.31969999999999998</v>
      </c>
      <c r="U23" s="18">
        <v>4717</v>
      </c>
      <c r="V23" s="18">
        <v>5079</v>
      </c>
      <c r="X23" s="18">
        <f t="shared" si="37"/>
        <v>36945</v>
      </c>
      <c r="Y23" s="18">
        <f t="shared" si="38"/>
        <v>35398</v>
      </c>
      <c r="Z23" s="17">
        <f t="shared" si="39"/>
        <v>7.6743693025227905E-2</v>
      </c>
      <c r="AA23" s="15">
        <f>AA14</f>
        <v>-8000</v>
      </c>
      <c r="AB23" s="15">
        <f t="shared" si="40"/>
        <v>100798.92258033331</v>
      </c>
      <c r="AC23" s="17">
        <v>0.315</v>
      </c>
      <c r="AD23" s="15">
        <v>205403</v>
      </c>
      <c r="AE23" s="15">
        <v>232844</v>
      </c>
      <c r="AF23" s="17">
        <f t="shared" si="41"/>
        <v>0.1335959065836429</v>
      </c>
      <c r="AG23" s="15">
        <v>197275</v>
      </c>
      <c r="AH23" s="15">
        <v>232594</v>
      </c>
      <c r="AI23" s="17">
        <f t="shared" si="42"/>
        <v>0.17903434292231657</v>
      </c>
      <c r="AJ23" s="15">
        <v>153394</v>
      </c>
      <c r="AK23" s="15">
        <v>178453</v>
      </c>
      <c r="AL23" s="17">
        <f t="shared" si="43"/>
        <v>0.16336362569592031</v>
      </c>
      <c r="AM23" s="20">
        <f t="shared" si="44"/>
        <v>94709</v>
      </c>
      <c r="AN23" s="20">
        <f t="shared" si="45"/>
        <v>97241</v>
      </c>
      <c r="AO23" s="17">
        <f t="shared" si="46"/>
        <v>2.6734523646115997E-2</v>
      </c>
      <c r="AP23" s="21">
        <v>94</v>
      </c>
      <c r="AQ23" s="21">
        <v>94</v>
      </c>
    </row>
    <row r="24" spans="1:43" x14ac:dyDescent="0.35">
      <c r="A24" s="8" t="s">
        <v>50</v>
      </c>
      <c r="B24" s="36" t="s">
        <v>68</v>
      </c>
      <c r="C24" s="15">
        <v>52000</v>
      </c>
      <c r="D24" s="15">
        <v>110000</v>
      </c>
      <c r="E24" s="15">
        <v>152000</v>
      </c>
      <c r="F24" s="15">
        <v>178000</v>
      </c>
      <c r="G24" s="15">
        <f t="shared" si="30"/>
        <v>16934.884872493192</v>
      </c>
      <c r="H24" s="15">
        <f t="shared" si="31"/>
        <v>21080.720435921965</v>
      </c>
      <c r="I24" s="8">
        <v>150000</v>
      </c>
      <c r="J24" s="8">
        <v>2.1</v>
      </c>
      <c r="K24" s="8">
        <v>1.1000000000000001</v>
      </c>
      <c r="L24" s="16">
        <f t="shared" si="32"/>
        <v>1.3882000000000001</v>
      </c>
      <c r="M24" s="37">
        <v>5280</v>
      </c>
      <c r="N24" s="15">
        <f t="shared" si="33"/>
        <v>25042.415200000003</v>
      </c>
      <c r="O24" s="15">
        <f t="shared" si="34"/>
        <v>21080.720435921965</v>
      </c>
      <c r="Q24" s="15">
        <f t="shared" si="35"/>
        <v>21080.720435921965</v>
      </c>
      <c r="R24" s="15">
        <f t="shared" si="36"/>
        <v>178000</v>
      </c>
      <c r="S24" s="17">
        <v>0.1711</v>
      </c>
      <c r="U24" s="18">
        <v>14400</v>
      </c>
      <c r="V24" s="18">
        <v>14236</v>
      </c>
      <c r="X24" s="18">
        <f t="shared" si="37"/>
        <v>129248</v>
      </c>
      <c r="Y24" s="18">
        <f t="shared" si="38"/>
        <v>120205</v>
      </c>
      <c r="Z24" s="17">
        <f t="shared" si="39"/>
        <v>-1.1388888888888889E-2</v>
      </c>
      <c r="AA24" s="15">
        <f>AA15</f>
        <v>-5685</v>
      </c>
      <c r="AB24" s="15">
        <f t="shared" si="40"/>
        <v>676484.10167466663</v>
      </c>
      <c r="AC24" s="17">
        <v>0.1951</v>
      </c>
      <c r="AD24" s="15">
        <v>437530</v>
      </c>
      <c r="AE24" s="15">
        <v>482674</v>
      </c>
      <c r="AF24" s="17">
        <f t="shared" si="41"/>
        <v>0.10317921056841817</v>
      </c>
      <c r="AG24" s="15">
        <v>431845</v>
      </c>
      <c r="AH24" s="15">
        <v>483335</v>
      </c>
      <c r="AI24" s="17">
        <f t="shared" si="42"/>
        <v>0.11923259502830877</v>
      </c>
      <c r="AJ24" s="15">
        <v>343438</v>
      </c>
      <c r="AK24" s="15">
        <v>383460</v>
      </c>
      <c r="AL24" s="17">
        <f t="shared" si="43"/>
        <v>0.11653340632079152</v>
      </c>
      <c r="AM24" s="20">
        <f t="shared" si="44"/>
        <v>279845</v>
      </c>
      <c r="AN24" s="20">
        <f t="shared" si="45"/>
        <v>305335</v>
      </c>
      <c r="AO24" s="17">
        <f t="shared" si="46"/>
        <v>9.1086136968679093E-2</v>
      </c>
      <c r="AP24" s="21">
        <v>148</v>
      </c>
      <c r="AQ24" s="21">
        <v>182</v>
      </c>
    </row>
    <row r="25" spans="1:43" x14ac:dyDescent="0.35">
      <c r="A25" s="8" t="s">
        <v>74</v>
      </c>
      <c r="B25" s="36" t="s">
        <v>75</v>
      </c>
      <c r="C25" s="15">
        <v>77988</v>
      </c>
      <c r="D25" s="15">
        <v>20500</v>
      </c>
      <c r="E25" s="15">
        <v>39226</v>
      </c>
      <c r="F25" s="15">
        <v>53000</v>
      </c>
      <c r="G25" s="15">
        <f t="shared" si="30"/>
        <v>9961.8065610859721</v>
      </c>
      <c r="H25" s="15">
        <f t="shared" si="31"/>
        <v>15835.303235807014</v>
      </c>
      <c r="I25" s="8">
        <v>50000</v>
      </c>
      <c r="J25" s="8">
        <v>2.1</v>
      </c>
      <c r="K25" s="8">
        <v>1.1000000000000001</v>
      </c>
      <c r="L25" s="16">
        <f t="shared" si="32"/>
        <v>1.8687</v>
      </c>
      <c r="M25" s="37">
        <v>5280</v>
      </c>
      <c r="N25" s="15">
        <f t="shared" si="33"/>
        <v>13924.6062</v>
      </c>
      <c r="O25" s="15">
        <f t="shared" si="34"/>
        <v>13924.6062</v>
      </c>
      <c r="Q25" s="15">
        <f t="shared" si="35"/>
        <v>13924.6062</v>
      </c>
      <c r="R25" s="15">
        <f t="shared" si="36"/>
        <v>47589.123532999998</v>
      </c>
      <c r="S25" s="17">
        <v>0.35110000000000002</v>
      </c>
      <c r="U25" s="18">
        <v>3143</v>
      </c>
      <c r="V25" s="18">
        <v>4626</v>
      </c>
      <c r="X25" s="18">
        <f t="shared" si="37"/>
        <v>12376</v>
      </c>
      <c r="Y25" s="18">
        <f t="shared" si="38"/>
        <v>15483</v>
      </c>
      <c r="Z25" s="17">
        <f t="shared" si="39"/>
        <v>0.47184218899140951</v>
      </c>
      <c r="AA25" s="15" t="e">
        <f>#REF!</f>
        <v>#REF!</v>
      </c>
      <c r="AB25" s="15">
        <f t="shared" si="40"/>
        <v>47589.123532999998</v>
      </c>
      <c r="AC25" s="17">
        <v>0.35110000000000002</v>
      </c>
      <c r="AD25" s="15">
        <v>59771</v>
      </c>
      <c r="AE25" s="15">
        <v>79818</v>
      </c>
      <c r="AF25" s="17">
        <f t="shared" si="41"/>
        <v>0.33539676431714377</v>
      </c>
      <c r="AG25" s="15">
        <v>901</v>
      </c>
      <c r="AH25" s="15">
        <v>700</v>
      </c>
      <c r="AI25" s="17">
        <f t="shared" si="42"/>
        <v>-0.22308546059933407</v>
      </c>
      <c r="AJ25" s="15">
        <v>57906</v>
      </c>
      <c r="AK25" s="15">
        <v>78000</v>
      </c>
      <c r="AL25" s="17">
        <f t="shared" si="43"/>
        <v>0.34701067246917416</v>
      </c>
      <c r="AM25" s="20">
        <f t="shared" si="44"/>
        <v>-38325</v>
      </c>
      <c r="AN25" s="20">
        <f t="shared" si="45"/>
        <v>-52300</v>
      </c>
      <c r="AO25" s="17">
        <f t="shared" si="46"/>
        <v>0.36464448793215914</v>
      </c>
      <c r="AP25" s="21">
        <v>132</v>
      </c>
      <c r="AQ25" s="21">
        <v>132</v>
      </c>
    </row>
    <row r="26" spans="1:43" x14ac:dyDescent="0.35">
      <c r="A26" s="8" t="s">
        <v>53</v>
      </c>
      <c r="B26" s="36" t="s">
        <v>76</v>
      </c>
      <c r="C26" s="15">
        <v>87632</v>
      </c>
      <c r="D26" s="15">
        <v>78000</v>
      </c>
      <c r="E26" s="15">
        <v>55676</v>
      </c>
      <c r="F26" s="15">
        <v>68612</v>
      </c>
      <c r="G26" s="15">
        <f t="shared" si="30"/>
        <v>16628.374613624503</v>
      </c>
      <c r="H26" s="15">
        <f t="shared" si="31"/>
        <v>22574.70399225318</v>
      </c>
      <c r="I26" s="8">
        <v>56000</v>
      </c>
      <c r="J26" s="8">
        <v>2.1</v>
      </c>
      <c r="K26" s="8">
        <v>1.1000000000000001</v>
      </c>
      <c r="L26" s="16">
        <f t="shared" si="32"/>
        <v>1.7262500000000001</v>
      </c>
      <c r="M26" s="37">
        <v>5280</v>
      </c>
      <c r="N26" s="15">
        <f t="shared" si="33"/>
        <v>18183.71875</v>
      </c>
      <c r="O26" s="15">
        <f t="shared" si="34"/>
        <v>18183.71875</v>
      </c>
      <c r="Q26" s="15">
        <f t="shared" si="35"/>
        <v>18183.71875</v>
      </c>
      <c r="R26" s="15">
        <f t="shared" si="36"/>
        <v>70808.786328666669</v>
      </c>
      <c r="S26" s="17">
        <v>0.23230000000000001</v>
      </c>
      <c r="U26" s="18">
        <v>7440</v>
      </c>
      <c r="V26" s="18">
        <v>7475</v>
      </c>
      <c r="X26" s="18">
        <f t="shared" si="37"/>
        <v>24911</v>
      </c>
      <c r="Y26" s="18">
        <f t="shared" si="38"/>
        <v>22719</v>
      </c>
      <c r="Z26" s="17">
        <f t="shared" si="39"/>
        <v>4.7043010752688174E-3</v>
      </c>
      <c r="AA26" s="15" t="e">
        <f>#REF!</f>
        <v>#REF!</v>
      </c>
      <c r="AB26" s="15">
        <f t="shared" si="40"/>
        <v>163635.56864866667</v>
      </c>
      <c r="AC26" s="17">
        <v>0.4516</v>
      </c>
      <c r="AD26" s="15">
        <v>132774</v>
      </c>
      <c r="AE26" s="15">
        <v>149010</v>
      </c>
      <c r="AF26" s="17">
        <f t="shared" si="41"/>
        <v>0.12228297708888788</v>
      </c>
      <c r="AG26" s="15">
        <v>139429</v>
      </c>
      <c r="AH26" s="15">
        <v>149010</v>
      </c>
      <c r="AI26" s="17">
        <f t="shared" si="42"/>
        <v>6.8715977307446802E-2</v>
      </c>
      <c r="AJ26" s="15">
        <v>107806</v>
      </c>
      <c r="AK26" s="15">
        <v>116950</v>
      </c>
      <c r="AL26" s="17">
        <f t="shared" si="43"/>
        <v>8.4819026770309627E-2</v>
      </c>
      <c r="AM26" s="20">
        <f t="shared" si="44"/>
        <v>83753</v>
      </c>
      <c r="AN26" s="20">
        <f t="shared" si="45"/>
        <v>80398</v>
      </c>
      <c r="AO26" s="17">
        <f t="shared" si="46"/>
        <v>-4.0058266569555717E-2</v>
      </c>
      <c r="AP26" s="21">
        <v>108</v>
      </c>
      <c r="AQ26" s="21">
        <v>108</v>
      </c>
    </row>
    <row r="27" spans="1:43" x14ac:dyDescent="0.35">
      <c r="A27" s="8" t="s">
        <v>55</v>
      </c>
      <c r="B27" s="36" t="s">
        <v>69</v>
      </c>
      <c r="C27" s="15">
        <v>220000</v>
      </c>
      <c r="D27" s="15">
        <v>158000</v>
      </c>
      <c r="E27" s="15">
        <v>140000</v>
      </c>
      <c r="F27" s="15">
        <v>155000</v>
      </c>
      <c r="G27" s="15">
        <f t="shared" si="30"/>
        <v>29629.377552283135</v>
      </c>
      <c r="H27" s="15">
        <f t="shared" si="31"/>
        <v>35994.450116926317</v>
      </c>
      <c r="I27" s="8">
        <v>155000</v>
      </c>
      <c r="J27" s="8">
        <v>2.1</v>
      </c>
      <c r="K27" s="8">
        <v>1.1000000000000001</v>
      </c>
      <c r="L27" s="16">
        <f t="shared" si="32"/>
        <v>1.3949500000000001</v>
      </c>
      <c r="M27" s="37">
        <v>5280</v>
      </c>
      <c r="N27" s="15">
        <f t="shared" si="33"/>
        <v>24950.189950000004</v>
      </c>
      <c r="O27" s="15">
        <f t="shared" si="34"/>
        <v>24950.189950000004</v>
      </c>
      <c r="Q27" s="15">
        <f t="shared" si="35"/>
        <v>24950.189950000004</v>
      </c>
      <c r="R27" s="15">
        <f t="shared" si="36"/>
        <v>148852.20888193115</v>
      </c>
      <c r="S27" s="17">
        <v>0.1071</v>
      </c>
      <c r="U27" s="18">
        <v>13682</v>
      </c>
      <c r="V27" s="18">
        <v>14101</v>
      </c>
      <c r="X27" s="18">
        <f t="shared" si="37"/>
        <v>64648</v>
      </c>
      <c r="Y27" s="18">
        <f t="shared" si="38"/>
        <v>60722</v>
      </c>
      <c r="Z27" s="17">
        <f t="shared" si="39"/>
        <v>3.0624177751790674E-2</v>
      </c>
      <c r="AA27" s="15">
        <f>AA16</f>
        <v>-387</v>
      </c>
      <c r="AB27" s="15">
        <f t="shared" si="40"/>
        <v>349257.9793152645</v>
      </c>
      <c r="AC27" s="17">
        <v>4.8000000000000001E-2</v>
      </c>
      <c r="AD27" s="15">
        <v>313138</v>
      </c>
      <c r="AE27" s="15">
        <v>330159</v>
      </c>
      <c r="AF27" s="17">
        <f t="shared" si="41"/>
        <v>5.4356226328328087E-2</v>
      </c>
      <c r="AG27" s="15">
        <v>301642</v>
      </c>
      <c r="AH27" s="15">
        <v>293859</v>
      </c>
      <c r="AI27" s="17">
        <f t="shared" si="42"/>
        <v>-2.5802109785772537E-2</v>
      </c>
      <c r="AJ27" s="15">
        <v>255189</v>
      </c>
      <c r="AK27" s="15">
        <v>251217</v>
      </c>
      <c r="AL27" s="17">
        <f t="shared" si="43"/>
        <v>-1.5564934225221306E-2</v>
      </c>
      <c r="AM27" s="20">
        <f t="shared" si="44"/>
        <v>161642</v>
      </c>
      <c r="AN27" s="20">
        <f t="shared" si="45"/>
        <v>138859</v>
      </c>
      <c r="AO27" s="17">
        <f t="shared" si="46"/>
        <v>-0.1409472785538412</v>
      </c>
      <c r="AP27" s="21">
        <v>71</v>
      </c>
      <c r="AQ27" s="21">
        <v>127</v>
      </c>
    </row>
    <row r="28" spans="1:43" x14ac:dyDescent="0.35">
      <c r="A28" s="8" t="s">
        <v>55</v>
      </c>
      <c r="B28" s="36" t="s">
        <v>70</v>
      </c>
      <c r="C28" s="15">
        <v>5000</v>
      </c>
      <c r="D28" s="15">
        <v>50697</v>
      </c>
      <c r="E28" s="15">
        <v>59698</v>
      </c>
      <c r="F28" s="15">
        <v>62200</v>
      </c>
      <c r="G28" s="15">
        <f t="shared" si="30"/>
        <v>3708.2026426721613</v>
      </c>
      <c r="H28" s="15">
        <f t="shared" si="31"/>
        <v>3374.1613133476089</v>
      </c>
      <c r="I28" s="8">
        <v>59698</v>
      </c>
      <c r="J28" s="8">
        <v>2.1</v>
      </c>
      <c r="K28" s="8">
        <v>1.1000000000000001</v>
      </c>
      <c r="L28" s="16">
        <f t="shared" si="32"/>
        <v>1.9366000000000001</v>
      </c>
      <c r="M28" s="37">
        <v>5280</v>
      </c>
      <c r="N28" s="15">
        <f t="shared" si="33"/>
        <v>11608.808800000001</v>
      </c>
      <c r="O28" s="15">
        <f t="shared" si="34"/>
        <v>3374.1613133476089</v>
      </c>
      <c r="Q28" s="15">
        <f t="shared" si="35"/>
        <v>3374.1613133476089</v>
      </c>
      <c r="R28" s="15">
        <f t="shared" si="36"/>
        <v>62200</v>
      </c>
      <c r="S28" s="17">
        <v>4.19E-2</v>
      </c>
      <c r="U28" s="18">
        <v>3286</v>
      </c>
      <c r="V28" s="18">
        <v>3268</v>
      </c>
      <c r="X28" s="18">
        <f t="shared" si="37"/>
        <v>52901</v>
      </c>
      <c r="Y28" s="18">
        <f t="shared" si="38"/>
        <v>60243</v>
      </c>
      <c r="Z28" s="17">
        <f t="shared" si="39"/>
        <v>-5.4777845404747416E-3</v>
      </c>
      <c r="AA28" s="15">
        <f>AA17</f>
        <v>2987</v>
      </c>
      <c r="AB28" s="15">
        <f t="shared" si="40"/>
        <v>349257.9793152645</v>
      </c>
      <c r="AC28" s="17">
        <v>4.8000000000000001E-2</v>
      </c>
      <c r="AD28" s="15">
        <v>172368</v>
      </c>
      <c r="AE28" s="15">
        <v>176000</v>
      </c>
      <c r="AF28" s="17">
        <f t="shared" si="41"/>
        <v>2.1071196509793E-2</v>
      </c>
      <c r="AG28" s="15">
        <v>175355</v>
      </c>
      <c r="AH28" s="15">
        <v>176000</v>
      </c>
      <c r="AI28" s="17">
        <f t="shared" si="42"/>
        <v>3.6782526874055486E-3</v>
      </c>
      <c r="AJ28" s="15">
        <v>98317</v>
      </c>
      <c r="AK28" s="15">
        <v>101000</v>
      </c>
      <c r="AL28" s="17">
        <f t="shared" si="43"/>
        <v>2.7289278558133383E-2</v>
      </c>
      <c r="AM28" s="20">
        <f t="shared" si="44"/>
        <v>115657</v>
      </c>
      <c r="AN28" s="20">
        <f t="shared" si="45"/>
        <v>113800</v>
      </c>
      <c r="AO28" s="17">
        <f t="shared" si="46"/>
        <v>-1.6056096907234321E-2</v>
      </c>
      <c r="AP28" s="21">
        <v>92</v>
      </c>
      <c r="AQ28" s="21">
        <v>134</v>
      </c>
    </row>
    <row r="29" spans="1:43" x14ac:dyDescent="0.35">
      <c r="A29" s="22" t="s">
        <v>60</v>
      </c>
      <c r="B29" s="22" t="s">
        <v>72</v>
      </c>
      <c r="C29" s="23">
        <f t="shared" ref="C29:I29" si="47">SUM(C20:C28)</f>
        <v>846967</v>
      </c>
      <c r="D29" s="23">
        <f t="shared" si="47"/>
        <v>883295</v>
      </c>
      <c r="E29" s="23">
        <f t="shared" si="47"/>
        <v>886114</v>
      </c>
      <c r="F29" s="23">
        <f t="shared" si="47"/>
        <v>1033891</v>
      </c>
      <c r="G29" s="23">
        <f t="shared" si="47"/>
        <v>164560.90139312387</v>
      </c>
      <c r="H29" s="23">
        <f t="shared" si="47"/>
        <v>206365.31149241625</v>
      </c>
      <c r="I29" s="23">
        <f t="shared" si="47"/>
        <v>714698</v>
      </c>
      <c r="J29" s="23"/>
      <c r="K29" s="23"/>
      <c r="L29" s="23"/>
      <c r="M29" s="38"/>
      <c r="N29" s="23">
        <f>SUM(N20:N28)</f>
        <v>172225.63310000001</v>
      </c>
      <c r="O29" s="23">
        <f>SUM(O20:O28)</f>
        <v>160029.29084926954</v>
      </c>
      <c r="P29" s="23">
        <f>SUM(P20:P28)</f>
        <v>0</v>
      </c>
      <c r="Q29" s="23">
        <f>SUM(Q20:Q28)</f>
        <v>160029.29084926954</v>
      </c>
      <c r="R29" s="23">
        <f>SUM(R20:R28)</f>
        <v>983736.8888546736</v>
      </c>
      <c r="S29" s="24">
        <f>IF(E29&gt;0,(F29-E29)/E29,"")</f>
        <v>0.16676973843094681</v>
      </c>
      <c r="T29" s="24"/>
      <c r="U29" s="25">
        <f>SUM(U20:U28)</f>
        <v>80269</v>
      </c>
      <c r="V29" s="25">
        <f>SUM(V20:V28)</f>
        <v>81658</v>
      </c>
      <c r="W29" s="25"/>
      <c r="X29" s="25">
        <f>SUM(X20:X28)</f>
        <v>473490</v>
      </c>
      <c r="Y29" s="25">
        <f>SUM(Y20:Y28)</f>
        <v>457330</v>
      </c>
      <c r="Z29" s="24">
        <f>IF(U29&gt;0,(V29-U29)/U29,"")</f>
        <v>1.7304314243356714E-2</v>
      </c>
      <c r="AA29" s="23" t="e">
        <f>SUM(AA20:AA28)</f>
        <v>#REF!</v>
      </c>
      <c r="AB29" s="23">
        <f>SUM(AB20:AB28)</f>
        <v>2179411.5225979383</v>
      </c>
      <c r="AC29" s="17">
        <v>4.8000000000000001E-2</v>
      </c>
      <c r="AD29" s="23">
        <f>SUM(AD20:AD28)</f>
        <v>2094989</v>
      </c>
      <c r="AE29" s="23">
        <f>SUM(AE20:AE28)</f>
        <v>2274774</v>
      </c>
      <c r="AF29" s="24">
        <f t="shared" si="41"/>
        <v>8.5816679705716825E-2</v>
      </c>
      <c r="AG29" s="23">
        <f>SUM(AG20:AG28)</f>
        <v>2047880</v>
      </c>
      <c r="AH29" s="23">
        <f>SUM(AH20:AH28)</f>
        <v>2164696</v>
      </c>
      <c r="AI29" s="24">
        <f t="shared" si="42"/>
        <v>5.7042404828407917E-2</v>
      </c>
      <c r="AJ29" s="23">
        <f>SUM(AJ20:AJ28)</f>
        <v>1658013</v>
      </c>
      <c r="AK29" s="23">
        <f>SUM(AK20:AK28)</f>
        <v>1784506</v>
      </c>
      <c r="AL29" s="24">
        <f t="shared" si="43"/>
        <v>7.6291922922196623E-2</v>
      </c>
      <c r="AM29" s="20">
        <f t="shared" si="44"/>
        <v>1161766</v>
      </c>
      <c r="AN29" s="20">
        <f t="shared" si="45"/>
        <v>1130805</v>
      </c>
      <c r="AO29" s="24">
        <f t="shared" si="46"/>
        <v>-2.6649944997529623E-2</v>
      </c>
      <c r="AP29" s="26"/>
      <c r="AQ29" s="21"/>
    </row>
    <row r="30" spans="1:43" x14ac:dyDescent="0.35">
      <c r="A30" s="9" t="s">
        <v>77</v>
      </c>
      <c r="B30" s="10"/>
      <c r="C30" s="11"/>
      <c r="D30" s="11"/>
      <c r="E30" s="11"/>
      <c r="F30" s="11"/>
      <c r="G30" s="11"/>
      <c r="H30" s="11"/>
      <c r="I30" s="10"/>
      <c r="J30" s="10"/>
      <c r="K30" s="10"/>
      <c r="L30" s="10"/>
      <c r="M30" s="35"/>
      <c r="N30" s="11"/>
      <c r="O30" s="39" t="str">
        <f>IF(ROUNDDOWN((O20-(E20*U20/X20))/(E20*U20/X20)*100,0)&gt;0,"+"&amp;ROUNDDOWN((O20-(E20*U20/X20))/(E20*U20/X20)*100,0)&amp;"% /2025",ROUNDDOWN((O20-(E20*U20/X20))/(E20*U20/X20)*100,0)&amp;"% /2025")</f>
        <v>-21% /2025</v>
      </c>
      <c r="P30" s="11"/>
      <c r="Q30" s="11"/>
      <c r="R30" s="11"/>
      <c r="S30" s="12"/>
      <c r="T30" s="12"/>
      <c r="U30" s="13"/>
      <c r="V30" s="13"/>
      <c r="W30" s="13"/>
      <c r="X30" s="13"/>
      <c r="Y30" s="13"/>
      <c r="Z30" s="12"/>
      <c r="AA30" s="11"/>
      <c r="AB30" s="11"/>
      <c r="AC30" s="12"/>
      <c r="AD30" s="11"/>
      <c r="AE30" s="11"/>
      <c r="AF30" s="12"/>
      <c r="AG30" s="11"/>
      <c r="AH30" s="11"/>
      <c r="AI30" s="12"/>
      <c r="AJ30" s="11"/>
      <c r="AK30" s="11"/>
      <c r="AL30" s="12"/>
      <c r="AM30" s="12"/>
      <c r="AN30" s="12"/>
      <c r="AO30" s="12"/>
      <c r="AP30" s="14"/>
      <c r="AQ30" s="21"/>
    </row>
    <row r="31" spans="1:43" x14ac:dyDescent="0.35">
      <c r="A31" s="8" t="s">
        <v>62</v>
      </c>
      <c r="B31" s="36" t="s">
        <v>63</v>
      </c>
      <c r="C31" s="15">
        <v>157127</v>
      </c>
      <c r="D31" s="15">
        <v>144000</v>
      </c>
      <c r="E31" s="15">
        <v>163251</v>
      </c>
      <c r="F31" s="15">
        <v>187000</v>
      </c>
      <c r="G31" s="15">
        <f t="shared" ref="G31:G40" si="48">E31*U31/X31</f>
        <v>106142.54362326897</v>
      </c>
      <c r="H31" s="15">
        <f t="shared" ref="H31:H40" si="49">F31*V31/Y31</f>
        <v>119750.4761424265</v>
      </c>
      <c r="I31" s="8">
        <v>164000</v>
      </c>
      <c r="J31" s="8">
        <v>2.4</v>
      </c>
      <c r="K31" s="8">
        <v>1.42</v>
      </c>
      <c r="L31" s="16">
        <f t="shared" ref="L31:L40" si="50">MAX(K31, J31 - (V31 * (J31 - K31) / 60000))</f>
        <v>1.5707403333333332</v>
      </c>
      <c r="M31" s="37">
        <v>9533</v>
      </c>
      <c r="N31" s="15">
        <f t="shared" ref="N31:N40" si="51">IF(V31&gt;0,M31+L31*V31,0)</f>
        <v>89281.057463666657</v>
      </c>
      <c r="O31" s="15">
        <f t="shared" ref="O31:O40" si="52">IF(N31&gt;H31,H31,N31)</f>
        <v>89281.057463666657</v>
      </c>
      <c r="Q31" s="15">
        <f t="shared" ref="Q31:Q40" si="53">O31+P31</f>
        <v>89281.057463666657</v>
      </c>
      <c r="R31" s="15">
        <f t="shared" ref="R31:R40" si="54">SUMIF(B:B,B31,Q:Q)</f>
        <v>141497.52127616666</v>
      </c>
      <c r="S31" s="17">
        <v>0.14549999999999999</v>
      </c>
      <c r="U31" s="18">
        <v>53805</v>
      </c>
      <c r="V31" s="18">
        <v>50771</v>
      </c>
      <c r="X31" s="18">
        <f t="shared" ref="X31:X40" si="55">SUMIF($B$11:$B$40,$B31,U$11:U$40)</f>
        <v>82754</v>
      </c>
      <c r="Y31" s="18">
        <f t="shared" ref="Y31:Y40" si="56">SUMIF($B$11:$B$40,$B31,V$11:V$40)</f>
        <v>79283</v>
      </c>
      <c r="Z31" s="17">
        <f t="shared" ref="Z31:Z40" si="57">IF(AND(ISNUMBER(U31), U31&gt;0), (V31-U31)/U31, "")</f>
        <v>-5.6388811448750117E-2</v>
      </c>
      <c r="AA31" s="15">
        <f>AA20</f>
        <v>49299</v>
      </c>
      <c r="AB31" s="15">
        <f t="shared" ref="AB31:AB40" si="58">SUMIF(A:A,A31,Q:Q)</f>
        <v>165097.52127616666</v>
      </c>
      <c r="AC31" s="17">
        <v>0.12939999999999999</v>
      </c>
      <c r="AD31" s="15">
        <v>360491</v>
      </c>
      <c r="AE31" s="15">
        <v>429324</v>
      </c>
      <c r="AF31" s="17">
        <f t="shared" ref="AF31:AF41" si="59">(AE31-AD31)/AD31</f>
        <v>0.19094235362325274</v>
      </c>
      <c r="AG31" s="15">
        <v>413036</v>
      </c>
      <c r="AH31" s="15">
        <v>429324</v>
      </c>
      <c r="AI31" s="17">
        <f t="shared" ref="AI31:AI41" si="60">(AH31-AG31)/AG31</f>
        <v>3.9434819240937835E-2</v>
      </c>
      <c r="AJ31" s="15">
        <v>319297</v>
      </c>
      <c r="AK31" s="15">
        <v>367000</v>
      </c>
      <c r="AL31" s="17">
        <f t="shared" ref="AL31:AL41" si="61">(AK31-AJ31)/AJ31</f>
        <v>0.14940008831902585</v>
      </c>
      <c r="AM31" s="20">
        <f t="shared" ref="AM31:AM41" si="62">AG31-E31</f>
        <v>249785</v>
      </c>
      <c r="AN31" s="20">
        <f t="shared" ref="AN31:AN41" si="63">AH31-F31</f>
        <v>242324</v>
      </c>
      <c r="AO31" s="17">
        <f t="shared" ref="AO31:AO41" si="64">(AN31-AM31)/AM31</f>
        <v>-2.9869687931621196E-2</v>
      </c>
      <c r="AP31" s="21">
        <v>166</v>
      </c>
      <c r="AQ31" s="21">
        <v>166</v>
      </c>
    </row>
    <row r="32" spans="1:43" x14ac:dyDescent="0.35">
      <c r="A32" s="8" t="s">
        <v>48</v>
      </c>
      <c r="B32" s="36" t="s">
        <v>64</v>
      </c>
      <c r="C32" s="15">
        <v>59914</v>
      </c>
      <c r="D32" s="15">
        <v>95971</v>
      </c>
      <c r="E32" s="15">
        <v>78595</v>
      </c>
      <c r="F32" s="15">
        <v>80000</v>
      </c>
      <c r="G32" s="15">
        <f t="shared" si="48"/>
        <v>57464.771840591857</v>
      </c>
      <c r="H32" s="15">
        <f t="shared" si="49"/>
        <v>55928.835631094669</v>
      </c>
      <c r="I32" s="8">
        <v>80000</v>
      </c>
      <c r="J32" s="8">
        <v>2.4</v>
      </c>
      <c r="K32" s="8">
        <v>1.42</v>
      </c>
      <c r="L32" s="16">
        <f t="shared" si="50"/>
        <v>2.0264566666666668</v>
      </c>
      <c r="M32" s="37">
        <v>9533</v>
      </c>
      <c r="N32" s="15">
        <f t="shared" si="51"/>
        <v>55878.063966666668</v>
      </c>
      <c r="O32" s="15">
        <f t="shared" si="52"/>
        <v>55878.063966666668</v>
      </c>
      <c r="Q32" s="15">
        <f t="shared" si="53"/>
        <v>55878.063966666668</v>
      </c>
      <c r="R32" s="15">
        <f t="shared" si="54"/>
        <v>81347.415198909206</v>
      </c>
      <c r="S32" s="17">
        <v>1.7899999999999999E-2</v>
      </c>
      <c r="U32" s="18">
        <v>25300</v>
      </c>
      <c r="V32" s="18">
        <v>22870</v>
      </c>
      <c r="X32" s="18">
        <f t="shared" si="55"/>
        <v>34603</v>
      </c>
      <c r="Y32" s="18">
        <f t="shared" si="56"/>
        <v>32713</v>
      </c>
      <c r="Z32" s="17">
        <f t="shared" si="57"/>
        <v>-9.6047430830039526E-2</v>
      </c>
      <c r="AA32" s="15">
        <f>AA21</f>
        <v>8500</v>
      </c>
      <c r="AB32" s="15">
        <f t="shared" si="58"/>
        <v>174647.41519890921</v>
      </c>
      <c r="AC32" s="17">
        <v>6.0199999999999997E-2</v>
      </c>
      <c r="AD32" s="15">
        <v>193719</v>
      </c>
      <c r="AE32" s="15">
        <v>184266</v>
      </c>
      <c r="AF32" s="17">
        <f t="shared" si="59"/>
        <v>-4.8797485016957555E-2</v>
      </c>
      <c r="AG32" s="15">
        <v>186709</v>
      </c>
      <c r="AH32" s="15">
        <v>189195</v>
      </c>
      <c r="AI32" s="17">
        <f t="shared" si="60"/>
        <v>1.3314837527917775E-2</v>
      </c>
      <c r="AJ32" s="15">
        <v>151287</v>
      </c>
      <c r="AK32" s="15">
        <v>140985</v>
      </c>
      <c r="AL32" s="17">
        <f t="shared" si="61"/>
        <v>-6.8095738563128352E-2</v>
      </c>
      <c r="AM32" s="20">
        <f t="shared" si="62"/>
        <v>108114</v>
      </c>
      <c r="AN32" s="20">
        <f t="shared" si="63"/>
        <v>109195</v>
      </c>
      <c r="AO32" s="17">
        <f t="shared" si="64"/>
        <v>9.9987050705736529E-3</v>
      </c>
      <c r="AP32" s="21">
        <v>80</v>
      </c>
      <c r="AQ32" s="21">
        <v>83</v>
      </c>
    </row>
    <row r="33" spans="1:43" x14ac:dyDescent="0.35">
      <c r="A33" s="8" t="s">
        <v>58</v>
      </c>
      <c r="B33" s="36" t="s">
        <v>59</v>
      </c>
      <c r="C33" s="15">
        <v>56679</v>
      </c>
      <c r="D33" s="15">
        <v>136027</v>
      </c>
      <c r="E33" s="15">
        <v>95102</v>
      </c>
      <c r="F33" s="15">
        <v>114726</v>
      </c>
      <c r="G33" s="15">
        <f t="shared" si="48"/>
        <v>49089.797174111212</v>
      </c>
      <c r="H33" s="15">
        <f t="shared" si="49"/>
        <v>57584.464271692188</v>
      </c>
      <c r="I33" s="8" t="s">
        <v>129</v>
      </c>
      <c r="J33" s="8">
        <v>2.4</v>
      </c>
      <c r="K33" s="8">
        <v>1.42</v>
      </c>
      <c r="L33" s="16">
        <f t="shared" si="50"/>
        <v>2.1494303333333331</v>
      </c>
      <c r="M33" s="37">
        <v>9533</v>
      </c>
      <c r="N33" s="15">
        <f t="shared" si="51"/>
        <v>42507.41074366666</v>
      </c>
      <c r="O33" s="15">
        <f t="shared" si="52"/>
        <v>42507.41074366666</v>
      </c>
      <c r="Q33" s="15">
        <f t="shared" si="53"/>
        <v>42507.41074366666</v>
      </c>
      <c r="R33" s="15">
        <f t="shared" si="54"/>
        <v>152642.91105566666</v>
      </c>
      <c r="S33" s="17">
        <v>0.20630000000000001</v>
      </c>
      <c r="U33" s="18">
        <v>18120</v>
      </c>
      <c r="V33" s="18">
        <v>15341</v>
      </c>
      <c r="X33" s="18">
        <f t="shared" si="55"/>
        <v>35104</v>
      </c>
      <c r="Y33" s="18">
        <f t="shared" si="56"/>
        <v>30564</v>
      </c>
      <c r="Z33" s="17">
        <f t="shared" si="57"/>
        <v>-0.15336644591611479</v>
      </c>
      <c r="AA33" s="15">
        <f>AA22</f>
        <v>-18107</v>
      </c>
      <c r="AB33" s="15">
        <f t="shared" si="58"/>
        <v>152642.91105566666</v>
      </c>
      <c r="AC33" s="17">
        <v>0.2833</v>
      </c>
      <c r="AD33" s="15">
        <v>219795</v>
      </c>
      <c r="AE33" s="15">
        <v>210679</v>
      </c>
      <c r="AF33" s="17">
        <f t="shared" si="59"/>
        <v>-4.1475010805523328E-2</v>
      </c>
      <c r="AG33" s="15">
        <v>201688</v>
      </c>
      <c r="AH33" s="15">
        <v>210679</v>
      </c>
      <c r="AI33" s="17">
        <f t="shared" si="60"/>
        <v>4.4578755305223913E-2</v>
      </c>
      <c r="AJ33" s="15">
        <v>171379</v>
      </c>
      <c r="AK33" s="15">
        <v>167441</v>
      </c>
      <c r="AL33" s="17">
        <f t="shared" si="61"/>
        <v>-2.2978311228330193E-2</v>
      </c>
      <c r="AM33" s="20">
        <f t="shared" si="62"/>
        <v>106586</v>
      </c>
      <c r="AN33" s="20">
        <f t="shared" si="63"/>
        <v>95953</v>
      </c>
      <c r="AO33" s="17">
        <f t="shared" si="64"/>
        <v>-9.975981836263674E-2</v>
      </c>
      <c r="AP33" s="21">
        <v>62</v>
      </c>
      <c r="AQ33" s="21">
        <v>74</v>
      </c>
    </row>
    <row r="34" spans="1:43" x14ac:dyDescent="0.35">
      <c r="A34" s="8" t="s">
        <v>65</v>
      </c>
      <c r="B34" s="36" t="s">
        <v>66</v>
      </c>
      <c r="C34" s="15">
        <v>130627</v>
      </c>
      <c r="D34" s="15">
        <v>90100</v>
      </c>
      <c r="E34" s="15">
        <v>102566</v>
      </c>
      <c r="F34" s="15">
        <v>135353</v>
      </c>
      <c r="G34" s="15">
        <f t="shared" si="48"/>
        <v>48549.849993233183</v>
      </c>
      <c r="H34" s="15">
        <f t="shared" si="49"/>
        <v>60334.905559636136</v>
      </c>
      <c r="I34" s="8" t="s">
        <v>130</v>
      </c>
      <c r="J34" s="8">
        <v>2.4</v>
      </c>
      <c r="K34" s="8">
        <v>1.42</v>
      </c>
      <c r="L34" s="16">
        <f t="shared" si="50"/>
        <v>2.1422763333333332</v>
      </c>
      <c r="M34" s="37">
        <v>9533</v>
      </c>
      <c r="N34" s="15">
        <f t="shared" si="51"/>
        <v>43335.978263666664</v>
      </c>
      <c r="O34" s="15">
        <f t="shared" si="52"/>
        <v>43335.978263666664</v>
      </c>
      <c r="Q34" s="15">
        <f t="shared" si="53"/>
        <v>43335.978263666664</v>
      </c>
      <c r="R34" s="15">
        <f t="shared" si="54"/>
        <v>100798.92258033331</v>
      </c>
      <c r="S34" s="17">
        <v>0.31969999999999998</v>
      </c>
      <c r="U34" s="18">
        <v>17488</v>
      </c>
      <c r="V34" s="18">
        <v>15779</v>
      </c>
      <c r="X34" s="18">
        <f t="shared" si="55"/>
        <v>36945</v>
      </c>
      <c r="Y34" s="18">
        <f t="shared" si="56"/>
        <v>35398</v>
      </c>
      <c r="Z34" s="17">
        <f t="shared" si="57"/>
        <v>-9.7724153705397984E-2</v>
      </c>
      <c r="AA34" s="15">
        <f>AA23</f>
        <v>-8000</v>
      </c>
      <c r="AB34" s="15">
        <f t="shared" si="58"/>
        <v>100798.92258033331</v>
      </c>
      <c r="AC34" s="17">
        <v>0.315</v>
      </c>
      <c r="AD34" s="15">
        <v>205403</v>
      </c>
      <c r="AE34" s="15">
        <v>232844</v>
      </c>
      <c r="AF34" s="17">
        <f t="shared" si="59"/>
        <v>0.1335959065836429</v>
      </c>
      <c r="AG34" s="15">
        <v>197275</v>
      </c>
      <c r="AH34" s="15">
        <v>232594</v>
      </c>
      <c r="AI34" s="17">
        <f t="shared" si="60"/>
        <v>0.17903434292231657</v>
      </c>
      <c r="AJ34" s="15">
        <v>153394</v>
      </c>
      <c r="AK34" s="15">
        <v>178453</v>
      </c>
      <c r="AL34" s="17">
        <f t="shared" si="61"/>
        <v>0.16336362569592031</v>
      </c>
      <c r="AM34" s="20">
        <f t="shared" si="62"/>
        <v>94709</v>
      </c>
      <c r="AN34" s="20">
        <f t="shared" si="63"/>
        <v>97241</v>
      </c>
      <c r="AO34" s="17">
        <f t="shared" si="64"/>
        <v>2.6734523646115997E-2</v>
      </c>
      <c r="AP34" s="21">
        <v>94</v>
      </c>
      <c r="AQ34" s="21">
        <v>94</v>
      </c>
    </row>
    <row r="35" spans="1:43" x14ac:dyDescent="0.35">
      <c r="A35" s="8" t="s">
        <v>50</v>
      </c>
      <c r="B35" s="36" t="s">
        <v>68</v>
      </c>
      <c r="C35" s="15">
        <v>52000</v>
      </c>
      <c r="D35" s="15">
        <v>110000</v>
      </c>
      <c r="E35" s="15">
        <v>152000</v>
      </c>
      <c r="F35" s="15">
        <v>178000</v>
      </c>
      <c r="G35" s="15">
        <f t="shared" si="48"/>
        <v>47452.958653131966</v>
      </c>
      <c r="H35" s="15">
        <f t="shared" si="49"/>
        <v>51912.53275654091</v>
      </c>
      <c r="I35" s="8">
        <v>150000</v>
      </c>
      <c r="J35" s="8">
        <v>2.4</v>
      </c>
      <c r="K35" s="8">
        <v>1.42</v>
      </c>
      <c r="L35" s="16">
        <f t="shared" si="50"/>
        <v>1.8274023333333331</v>
      </c>
      <c r="M35" s="37">
        <v>9533</v>
      </c>
      <c r="N35" s="15">
        <f t="shared" si="51"/>
        <v>73596.243599666661</v>
      </c>
      <c r="O35" s="15">
        <f t="shared" si="52"/>
        <v>51912.53275654091</v>
      </c>
      <c r="Q35" s="15">
        <f t="shared" si="53"/>
        <v>51912.53275654091</v>
      </c>
      <c r="R35" s="15">
        <f t="shared" si="54"/>
        <v>178000</v>
      </c>
      <c r="S35" s="17">
        <v>0.1711</v>
      </c>
      <c r="U35" s="18">
        <v>40350</v>
      </c>
      <c r="V35" s="18">
        <v>35057</v>
      </c>
      <c r="X35" s="18">
        <f t="shared" si="55"/>
        <v>129248</v>
      </c>
      <c r="Y35" s="18">
        <f t="shared" si="56"/>
        <v>120205</v>
      </c>
      <c r="Z35" s="17">
        <f t="shared" si="57"/>
        <v>-0.13117719950433704</v>
      </c>
      <c r="AA35" s="15">
        <f>AA24</f>
        <v>-5685</v>
      </c>
      <c r="AB35" s="15">
        <f t="shared" si="58"/>
        <v>676484.10167466663</v>
      </c>
      <c r="AC35" s="17">
        <v>0.1951</v>
      </c>
      <c r="AD35" s="15">
        <v>437530</v>
      </c>
      <c r="AE35" s="15">
        <v>482674</v>
      </c>
      <c r="AF35" s="17">
        <f t="shared" si="59"/>
        <v>0.10317921056841817</v>
      </c>
      <c r="AG35" s="15">
        <v>431845</v>
      </c>
      <c r="AH35" s="15">
        <v>483335</v>
      </c>
      <c r="AI35" s="17">
        <f t="shared" si="60"/>
        <v>0.11923259502830877</v>
      </c>
      <c r="AJ35" s="15">
        <v>343438</v>
      </c>
      <c r="AK35" s="15">
        <v>383460</v>
      </c>
      <c r="AL35" s="17">
        <f t="shared" si="61"/>
        <v>0.11653340632079152</v>
      </c>
      <c r="AM35" s="20">
        <f t="shared" si="62"/>
        <v>279845</v>
      </c>
      <c r="AN35" s="20">
        <f t="shared" si="63"/>
        <v>305335</v>
      </c>
      <c r="AO35" s="17">
        <f t="shared" si="64"/>
        <v>9.1086136968679093E-2</v>
      </c>
      <c r="AP35" s="21">
        <v>148</v>
      </c>
      <c r="AQ35" s="21">
        <v>182</v>
      </c>
    </row>
    <row r="36" spans="1:43" x14ac:dyDescent="0.35">
      <c r="A36" s="8" t="s">
        <v>50</v>
      </c>
      <c r="B36" s="36" t="s">
        <v>78</v>
      </c>
      <c r="C36" s="15">
        <v>43100</v>
      </c>
      <c r="D36" s="15">
        <v>47600</v>
      </c>
      <c r="E36" s="15">
        <v>48940</v>
      </c>
      <c r="F36" s="15">
        <v>59200</v>
      </c>
      <c r="G36" s="15">
        <f t="shared" si="48"/>
        <v>48940</v>
      </c>
      <c r="H36" s="15">
        <f t="shared" si="49"/>
        <v>59200</v>
      </c>
      <c r="I36" s="8">
        <v>48940</v>
      </c>
      <c r="J36" s="8">
        <v>2.4</v>
      </c>
      <c r="K36" s="8">
        <v>1.42</v>
      </c>
      <c r="L36" s="16">
        <f t="shared" si="50"/>
        <v>2.1889406666666664</v>
      </c>
      <c r="M36" s="37">
        <v>9533</v>
      </c>
      <c r="N36" s="15">
        <f t="shared" si="51"/>
        <v>37818.491294666659</v>
      </c>
      <c r="O36" s="15">
        <f t="shared" si="52"/>
        <v>37818.491294666659</v>
      </c>
      <c r="Q36" s="15">
        <f t="shared" si="53"/>
        <v>37818.491294666659</v>
      </c>
      <c r="R36" s="15">
        <f t="shared" si="54"/>
        <v>37818.491294666659</v>
      </c>
      <c r="S36" s="17">
        <v>0.20960000000000001</v>
      </c>
      <c r="U36" s="18">
        <v>14000</v>
      </c>
      <c r="V36" s="18">
        <v>12922</v>
      </c>
      <c r="X36" s="18">
        <f t="shared" si="55"/>
        <v>14000</v>
      </c>
      <c r="Y36" s="18">
        <f t="shared" si="56"/>
        <v>12922</v>
      </c>
      <c r="Z36" s="17">
        <f t="shared" si="57"/>
        <v>-7.6999999999999999E-2</v>
      </c>
      <c r="AA36" s="15" t="e">
        <f>#REF!</f>
        <v>#REF!</v>
      </c>
      <c r="AB36" s="15">
        <f t="shared" si="58"/>
        <v>676484.10167466663</v>
      </c>
      <c r="AC36" s="17">
        <v>0.1951</v>
      </c>
      <c r="AD36" s="15">
        <v>85510</v>
      </c>
      <c r="AE36" s="15">
        <v>93250</v>
      </c>
      <c r="AF36" s="17">
        <f t="shared" si="59"/>
        <v>9.0515729154484859E-2</v>
      </c>
      <c r="AG36" s="15">
        <v>83098</v>
      </c>
      <c r="AH36" s="15">
        <v>93250</v>
      </c>
      <c r="AI36" s="17">
        <f t="shared" si="60"/>
        <v>0.12216900527088498</v>
      </c>
      <c r="AJ36" s="15">
        <v>56662</v>
      </c>
      <c r="AK36" s="15">
        <v>59720</v>
      </c>
      <c r="AL36" s="17">
        <f t="shared" si="61"/>
        <v>5.3969150400621231E-2</v>
      </c>
      <c r="AM36" s="20">
        <f t="shared" si="62"/>
        <v>34158</v>
      </c>
      <c r="AN36" s="20">
        <f t="shared" si="63"/>
        <v>34050</v>
      </c>
      <c r="AO36" s="17">
        <f t="shared" si="64"/>
        <v>-3.1617776216406111E-3</v>
      </c>
    </row>
    <row r="37" spans="1:43" x14ac:dyDescent="0.35">
      <c r="A37" s="8" t="s">
        <v>74</v>
      </c>
      <c r="B37" s="36" t="s">
        <v>75</v>
      </c>
      <c r="C37" s="15">
        <v>77988</v>
      </c>
      <c r="D37" s="15">
        <v>20500</v>
      </c>
      <c r="E37" s="15">
        <v>39226</v>
      </c>
      <c r="F37" s="15">
        <v>53000</v>
      </c>
      <c r="G37" s="15">
        <f t="shared" si="48"/>
        <v>29264.193438914026</v>
      </c>
      <c r="H37" s="15">
        <f t="shared" si="49"/>
        <v>37164.696764192988</v>
      </c>
      <c r="I37" s="8">
        <v>50000</v>
      </c>
      <c r="J37" s="8">
        <v>2.4</v>
      </c>
      <c r="K37" s="8">
        <v>1.42</v>
      </c>
      <c r="L37" s="16">
        <f t="shared" si="50"/>
        <v>2.2226689999999998</v>
      </c>
      <c r="M37" s="37">
        <v>9533</v>
      </c>
      <c r="N37" s="15">
        <f t="shared" si="51"/>
        <v>33664.517332999996</v>
      </c>
      <c r="O37" s="15">
        <f t="shared" si="52"/>
        <v>33664.517332999996</v>
      </c>
      <c r="Q37" s="15">
        <f t="shared" si="53"/>
        <v>33664.517332999996</v>
      </c>
      <c r="R37" s="15">
        <f t="shared" si="54"/>
        <v>47589.123532999998</v>
      </c>
      <c r="S37" s="17">
        <v>0.35110000000000002</v>
      </c>
      <c r="U37" s="18">
        <v>9233</v>
      </c>
      <c r="V37" s="18">
        <v>10857</v>
      </c>
      <c r="X37" s="18">
        <f t="shared" si="55"/>
        <v>12376</v>
      </c>
      <c r="Y37" s="18">
        <f t="shared" si="56"/>
        <v>15483</v>
      </c>
      <c r="Z37" s="17">
        <f t="shared" si="57"/>
        <v>0.17589082638362397</v>
      </c>
      <c r="AA37" s="15" t="e">
        <f>AA25</f>
        <v>#REF!</v>
      </c>
      <c r="AB37" s="15">
        <f t="shared" si="58"/>
        <v>47589.123532999998</v>
      </c>
      <c r="AC37" s="17">
        <v>0.35110000000000002</v>
      </c>
      <c r="AD37" s="15">
        <v>59771</v>
      </c>
      <c r="AE37" s="15">
        <v>79818</v>
      </c>
      <c r="AF37" s="17">
        <f t="shared" si="59"/>
        <v>0.33539676431714377</v>
      </c>
      <c r="AG37" s="15">
        <v>901</v>
      </c>
      <c r="AH37" s="15">
        <v>700</v>
      </c>
      <c r="AI37" s="17">
        <f t="shared" si="60"/>
        <v>-0.22308546059933407</v>
      </c>
      <c r="AJ37" s="15">
        <v>57906</v>
      </c>
      <c r="AK37" s="15">
        <v>78000</v>
      </c>
      <c r="AL37" s="17">
        <f t="shared" si="61"/>
        <v>0.34701067246917416</v>
      </c>
      <c r="AM37" s="20">
        <f t="shared" si="62"/>
        <v>-38325</v>
      </c>
      <c r="AN37" s="20">
        <f t="shared" si="63"/>
        <v>-52300</v>
      </c>
      <c r="AO37" s="17">
        <f t="shared" si="64"/>
        <v>0.36464448793215914</v>
      </c>
      <c r="AP37" s="21">
        <v>132</v>
      </c>
      <c r="AQ37" s="21">
        <v>132</v>
      </c>
    </row>
    <row r="38" spans="1:43" x14ac:dyDescent="0.35">
      <c r="A38" s="8" t="s">
        <v>53</v>
      </c>
      <c r="B38" s="36" t="s">
        <v>76</v>
      </c>
      <c r="C38" s="15">
        <v>87632</v>
      </c>
      <c r="D38" s="15">
        <v>78000</v>
      </c>
      <c r="E38" s="15">
        <v>55676</v>
      </c>
      <c r="F38" s="15">
        <v>68612</v>
      </c>
      <c r="G38" s="15">
        <f t="shared" si="48"/>
        <v>39047.625386375497</v>
      </c>
      <c r="H38" s="15">
        <f t="shared" si="49"/>
        <v>46037.296007746823</v>
      </c>
      <c r="I38" s="8">
        <v>56000</v>
      </c>
      <c r="J38" s="8">
        <v>2.4</v>
      </c>
      <c r="K38" s="8">
        <v>1.42</v>
      </c>
      <c r="L38" s="16">
        <f t="shared" si="50"/>
        <v>2.1510146666666667</v>
      </c>
      <c r="M38" s="37">
        <v>9533</v>
      </c>
      <c r="N38" s="15">
        <f t="shared" si="51"/>
        <v>42323.067578666669</v>
      </c>
      <c r="O38" s="15">
        <f t="shared" si="52"/>
        <v>42323.067578666669</v>
      </c>
      <c r="Q38" s="15">
        <f t="shared" si="53"/>
        <v>42323.067578666669</v>
      </c>
      <c r="R38" s="15">
        <f t="shared" si="54"/>
        <v>70808.786328666669</v>
      </c>
      <c r="S38" s="17">
        <v>0.23230000000000001</v>
      </c>
      <c r="U38" s="18">
        <v>17471</v>
      </c>
      <c r="V38" s="18">
        <v>15244</v>
      </c>
      <c r="X38" s="18">
        <f t="shared" si="55"/>
        <v>24911</v>
      </c>
      <c r="Y38" s="18">
        <f t="shared" si="56"/>
        <v>22719</v>
      </c>
      <c r="Z38" s="17">
        <f t="shared" si="57"/>
        <v>-0.12746837616621831</v>
      </c>
      <c r="AA38" s="15" t="e">
        <f>AA26</f>
        <v>#REF!</v>
      </c>
      <c r="AB38" s="15">
        <f t="shared" si="58"/>
        <v>163635.56864866667</v>
      </c>
      <c r="AC38" s="17">
        <v>0.4516</v>
      </c>
      <c r="AD38" s="15">
        <v>132774</v>
      </c>
      <c r="AE38" s="15">
        <v>149010</v>
      </c>
      <c r="AF38" s="17">
        <f t="shared" si="59"/>
        <v>0.12228297708888788</v>
      </c>
      <c r="AG38" s="15">
        <v>139429</v>
      </c>
      <c r="AH38" s="15">
        <v>149010</v>
      </c>
      <c r="AI38" s="17">
        <f t="shared" si="60"/>
        <v>6.8715977307446802E-2</v>
      </c>
      <c r="AJ38" s="15">
        <v>107806</v>
      </c>
      <c r="AK38" s="15">
        <v>116950</v>
      </c>
      <c r="AL38" s="17">
        <f t="shared" si="61"/>
        <v>8.4819026770309627E-2</v>
      </c>
      <c r="AM38" s="20">
        <f t="shared" si="62"/>
        <v>83753</v>
      </c>
      <c r="AN38" s="20">
        <f t="shared" si="63"/>
        <v>80398</v>
      </c>
      <c r="AO38" s="17">
        <f t="shared" si="64"/>
        <v>-4.0058266569555717E-2</v>
      </c>
      <c r="AP38" s="21">
        <v>108</v>
      </c>
      <c r="AQ38" s="21">
        <v>108</v>
      </c>
    </row>
    <row r="39" spans="1:43" x14ac:dyDescent="0.35">
      <c r="A39" s="8" t="s">
        <v>55</v>
      </c>
      <c r="B39" s="36" t="s">
        <v>69</v>
      </c>
      <c r="C39" s="15">
        <v>220000</v>
      </c>
      <c r="D39" s="15">
        <v>158000</v>
      </c>
      <c r="E39" s="15">
        <v>140000</v>
      </c>
      <c r="F39" s="15">
        <v>155000</v>
      </c>
      <c r="G39" s="15">
        <f t="shared" si="48"/>
        <v>86116.198490285853</v>
      </c>
      <c r="H39" s="15">
        <f t="shared" si="49"/>
        <v>90204.374032475869</v>
      </c>
      <c r="I39" s="8">
        <v>155000</v>
      </c>
      <c r="J39" s="8">
        <v>2.4</v>
      </c>
      <c r="K39" s="8">
        <v>1.42</v>
      </c>
      <c r="L39" s="16">
        <f t="shared" si="50"/>
        <v>1.8228126666666666</v>
      </c>
      <c r="M39" s="37">
        <v>9533</v>
      </c>
      <c r="N39" s="15">
        <f t="shared" si="51"/>
        <v>73947.554014666675</v>
      </c>
      <c r="O39" s="15">
        <f t="shared" si="52"/>
        <v>73947.554014666675</v>
      </c>
      <c r="Q39" s="15">
        <f t="shared" si="53"/>
        <v>73947.554014666675</v>
      </c>
      <c r="R39" s="15">
        <f t="shared" si="54"/>
        <v>148852.20888193115</v>
      </c>
      <c r="S39" s="17">
        <v>0.1071</v>
      </c>
      <c r="U39" s="18">
        <v>39766</v>
      </c>
      <c r="V39" s="18">
        <v>35338</v>
      </c>
      <c r="X39" s="18">
        <f t="shared" si="55"/>
        <v>64648</v>
      </c>
      <c r="Y39" s="18">
        <f t="shared" si="56"/>
        <v>60722</v>
      </c>
      <c r="Z39" s="17">
        <f t="shared" si="57"/>
        <v>-0.11135140572348237</v>
      </c>
      <c r="AA39" s="15">
        <f>AA27</f>
        <v>-387</v>
      </c>
      <c r="AB39" s="15">
        <f t="shared" si="58"/>
        <v>349257.9793152645</v>
      </c>
      <c r="AC39" s="17">
        <v>4.8000000000000001E-2</v>
      </c>
      <c r="AD39" s="15">
        <v>313138</v>
      </c>
      <c r="AE39" s="15">
        <v>330159</v>
      </c>
      <c r="AF39" s="17">
        <f t="shared" si="59"/>
        <v>5.4356226328328087E-2</v>
      </c>
      <c r="AG39" s="15">
        <v>301642</v>
      </c>
      <c r="AH39" s="15">
        <v>293859</v>
      </c>
      <c r="AI39" s="17">
        <f t="shared" si="60"/>
        <v>-2.5802109785772537E-2</v>
      </c>
      <c r="AJ39" s="15">
        <v>255189</v>
      </c>
      <c r="AK39" s="15">
        <v>251217</v>
      </c>
      <c r="AL39" s="17">
        <f t="shared" si="61"/>
        <v>-1.5564934225221306E-2</v>
      </c>
      <c r="AM39" s="20">
        <f t="shared" si="62"/>
        <v>161642</v>
      </c>
      <c r="AN39" s="20">
        <f t="shared" si="63"/>
        <v>138859</v>
      </c>
      <c r="AO39" s="17">
        <f t="shared" si="64"/>
        <v>-0.1409472785538412</v>
      </c>
      <c r="AP39" s="21">
        <v>71</v>
      </c>
      <c r="AQ39" s="21">
        <v>127</v>
      </c>
    </row>
    <row r="40" spans="1:43" x14ac:dyDescent="0.35">
      <c r="A40" s="8" t="s">
        <v>55</v>
      </c>
      <c r="B40" s="36" t="s">
        <v>70</v>
      </c>
      <c r="C40" s="15">
        <v>5000</v>
      </c>
      <c r="D40" s="15">
        <v>50697</v>
      </c>
      <c r="E40" s="15">
        <v>59698</v>
      </c>
      <c r="F40" s="15">
        <v>62200</v>
      </c>
      <c r="G40" s="15">
        <f t="shared" si="48"/>
        <v>7539.4101812820172</v>
      </c>
      <c r="H40" s="15">
        <f t="shared" si="49"/>
        <v>10306.266288199458</v>
      </c>
      <c r="I40" s="8">
        <v>59698</v>
      </c>
      <c r="J40" s="8">
        <v>2.4</v>
      </c>
      <c r="K40" s="8">
        <v>1.42</v>
      </c>
      <c r="L40" s="16">
        <f t="shared" si="50"/>
        <v>2.2369606666666666</v>
      </c>
      <c r="M40" s="37">
        <v>9533</v>
      </c>
      <c r="N40" s="15">
        <f t="shared" si="51"/>
        <v>31862.341374666667</v>
      </c>
      <c r="O40" s="15">
        <f t="shared" si="52"/>
        <v>10306.266288199458</v>
      </c>
      <c r="Q40" s="15">
        <f t="shared" si="53"/>
        <v>10306.266288199458</v>
      </c>
      <c r="R40" s="15">
        <f t="shared" si="54"/>
        <v>62200</v>
      </c>
      <c r="S40" s="17">
        <v>4.19E-2</v>
      </c>
      <c r="U40" s="18">
        <v>6681</v>
      </c>
      <c r="V40" s="18">
        <v>9982</v>
      </c>
      <c r="X40" s="18">
        <f t="shared" si="55"/>
        <v>52901</v>
      </c>
      <c r="Y40" s="18">
        <f t="shared" si="56"/>
        <v>60243</v>
      </c>
      <c r="Z40" s="17">
        <f t="shared" si="57"/>
        <v>0.49408771142044605</v>
      </c>
      <c r="AA40" s="15">
        <f>AA28</f>
        <v>2987</v>
      </c>
      <c r="AB40" s="15">
        <f t="shared" si="58"/>
        <v>349257.9793152645</v>
      </c>
      <c r="AC40" s="17">
        <v>4.8000000000000001E-2</v>
      </c>
      <c r="AD40" s="15">
        <v>172368</v>
      </c>
      <c r="AE40" s="15">
        <v>176000</v>
      </c>
      <c r="AF40" s="17">
        <f t="shared" si="59"/>
        <v>2.1071196509793E-2</v>
      </c>
      <c r="AG40" s="15">
        <v>175355</v>
      </c>
      <c r="AH40" s="15">
        <v>176000</v>
      </c>
      <c r="AI40" s="17">
        <f t="shared" si="60"/>
        <v>3.6782526874055486E-3</v>
      </c>
      <c r="AJ40" s="15">
        <v>98317</v>
      </c>
      <c r="AK40" s="15">
        <v>101000</v>
      </c>
      <c r="AL40" s="17">
        <f t="shared" si="61"/>
        <v>2.7289278558133383E-2</v>
      </c>
      <c r="AM40" s="20">
        <f t="shared" si="62"/>
        <v>115657</v>
      </c>
      <c r="AN40" s="20">
        <f t="shared" si="63"/>
        <v>113800</v>
      </c>
      <c r="AO40" s="17">
        <f t="shared" si="64"/>
        <v>-1.6056096907234321E-2</v>
      </c>
      <c r="AP40" s="21">
        <v>92</v>
      </c>
      <c r="AQ40" s="21">
        <v>134</v>
      </c>
    </row>
    <row r="41" spans="1:43" x14ac:dyDescent="0.35">
      <c r="A41" s="22" t="s">
        <v>60</v>
      </c>
      <c r="B41" s="22" t="s">
        <v>72</v>
      </c>
      <c r="C41" s="23">
        <f t="shared" ref="C41:I41" si="65">SUM(C31:C40)</f>
        <v>890067</v>
      </c>
      <c r="D41" s="23">
        <f t="shared" si="65"/>
        <v>930895</v>
      </c>
      <c r="E41" s="23">
        <f t="shared" si="65"/>
        <v>935054</v>
      </c>
      <c r="F41" s="23">
        <f t="shared" si="65"/>
        <v>1093091</v>
      </c>
      <c r="G41" s="23">
        <f t="shared" si="65"/>
        <v>519607.34878119454</v>
      </c>
      <c r="H41" s="23">
        <f t="shared" si="65"/>
        <v>588423.84745400562</v>
      </c>
      <c r="I41" s="23">
        <f t="shared" si="65"/>
        <v>763638</v>
      </c>
      <c r="J41" s="23"/>
      <c r="K41" s="23"/>
      <c r="L41" s="23"/>
      <c r="M41" s="38"/>
      <c r="N41" s="23">
        <f>SUM(N31:N40)</f>
        <v>524214.72563299991</v>
      </c>
      <c r="O41" s="23">
        <f>SUM(O31:O40)</f>
        <v>480974.939703407</v>
      </c>
      <c r="P41" s="23">
        <f>SUM(P31:P40)</f>
        <v>0</v>
      </c>
      <c r="Q41" s="23">
        <f>SUM(Q31:Q40)</f>
        <v>480974.939703407</v>
      </c>
      <c r="R41" s="23">
        <f>SUM(R31:R40)</f>
        <v>1021555.3801493403</v>
      </c>
      <c r="S41" s="24">
        <f>IF(E41&gt;0,(F41-E41)/E41,"")</f>
        <v>0.1690137681887891</v>
      </c>
      <c r="T41" s="24"/>
      <c r="U41" s="25">
        <f>SUM(U31:U40)</f>
        <v>242214</v>
      </c>
      <c r="V41" s="25">
        <f>SUM(V31:V40)</f>
        <v>224161</v>
      </c>
      <c r="W41" s="25"/>
      <c r="X41" s="25">
        <f>SUM(X31:X40)</f>
        <v>487490</v>
      </c>
      <c r="Y41" s="25">
        <f>SUM(Y31:Y40)</f>
        <v>470252</v>
      </c>
      <c r="Z41" s="24">
        <f>IF(U41&gt;0,(V41-U41)/U41,"")</f>
        <v>-7.4533263973180747E-2</v>
      </c>
      <c r="AA41" s="23" t="e">
        <f>SUM(AA31:AA40)</f>
        <v>#REF!</v>
      </c>
      <c r="AB41" s="23">
        <f>SUM(AB31:AB40)</f>
        <v>2855895.6242726049</v>
      </c>
      <c r="AC41" s="17">
        <v>4.8000000000000001E-2</v>
      </c>
      <c r="AD41" s="23">
        <f>SUM(AD31:AD40)</f>
        <v>2180499</v>
      </c>
      <c r="AE41" s="23">
        <f>SUM(AE31:AE40)</f>
        <v>2368024</v>
      </c>
      <c r="AF41" s="24">
        <f t="shared" si="59"/>
        <v>8.6000956661754946E-2</v>
      </c>
      <c r="AG41" s="23">
        <f>SUM(AG31:AG40)</f>
        <v>2130978</v>
      </c>
      <c r="AH41" s="23">
        <f>SUM(AH31:AH40)</f>
        <v>2257946</v>
      </c>
      <c r="AI41" s="24">
        <f t="shared" si="60"/>
        <v>5.9582032287522443E-2</v>
      </c>
      <c r="AJ41" s="23">
        <f>SUM(AJ31:AJ40)</f>
        <v>1714675</v>
      </c>
      <c r="AK41" s="23">
        <f>SUM(AK31:AK40)</f>
        <v>1844226</v>
      </c>
      <c r="AL41" s="24">
        <f t="shared" si="61"/>
        <v>7.5554259553559711E-2</v>
      </c>
      <c r="AM41" s="20">
        <f t="shared" si="62"/>
        <v>1195924</v>
      </c>
      <c r="AN41" s="20">
        <f t="shared" si="63"/>
        <v>1164855</v>
      </c>
      <c r="AO41" s="24">
        <f t="shared" si="64"/>
        <v>-2.597907559343236E-2</v>
      </c>
      <c r="AP41" s="26"/>
      <c r="AQ41" s="21"/>
    </row>
    <row r="42" spans="1:43" x14ac:dyDescent="0.35">
      <c r="A42" s="9" t="s">
        <v>81</v>
      </c>
      <c r="B42" s="10"/>
      <c r="C42" s="11"/>
      <c r="D42" s="11"/>
      <c r="E42" s="11"/>
      <c r="F42" s="11"/>
      <c r="G42" s="11"/>
      <c r="H42" s="11"/>
      <c r="I42" s="10"/>
      <c r="J42" s="10"/>
      <c r="K42" s="10"/>
      <c r="L42" s="10"/>
      <c r="M42" s="35"/>
      <c r="N42" s="11"/>
      <c r="O42" s="39" t="str">
        <f>IF(ROUNDDOWN((O32-(E32*U32/X32))/(E32*U32/X32)*100,0)&gt;0,"+"&amp;ROUNDDOWN((O32-(E32*U32/X32))/(E32*U32/X32)*100,0)&amp;"% /2025",ROUNDDOWN((O32-(E32*U32/X32))/(E32*U32/X32)*100,0)&amp;"% /2025")</f>
        <v>-2% /2025</v>
      </c>
      <c r="P42" s="11"/>
      <c r="Q42" s="11"/>
      <c r="R42" s="11"/>
      <c r="S42" s="12"/>
      <c r="T42" s="12"/>
      <c r="U42" s="13"/>
      <c r="V42" s="13"/>
      <c r="W42" s="13"/>
      <c r="X42" s="13"/>
      <c r="Y42" s="13"/>
      <c r="Z42" s="12"/>
      <c r="AA42" s="11"/>
      <c r="AB42" s="11"/>
      <c r="AC42" s="12"/>
      <c r="AD42" s="11"/>
      <c r="AE42" s="11"/>
      <c r="AF42" s="12"/>
      <c r="AG42" s="11"/>
      <c r="AH42" s="11"/>
      <c r="AI42" s="12"/>
      <c r="AJ42" s="11"/>
      <c r="AK42" s="11"/>
      <c r="AL42" s="12"/>
      <c r="AM42" s="12"/>
      <c r="AN42" s="12"/>
      <c r="AO42" s="12"/>
      <c r="AP42" s="14"/>
      <c r="AQ42" s="21"/>
    </row>
    <row r="43" spans="1:43" x14ac:dyDescent="0.35">
      <c r="A43" s="8" t="s">
        <v>50</v>
      </c>
      <c r="B43" s="36" t="s">
        <v>82</v>
      </c>
      <c r="C43" s="15">
        <v>52000</v>
      </c>
      <c r="D43" s="15">
        <v>63000</v>
      </c>
      <c r="E43" s="15">
        <v>51012</v>
      </c>
      <c r="F43" s="15">
        <v>53000</v>
      </c>
      <c r="G43" s="15">
        <f t="shared" ref="G43:H48" si="66">E43</f>
        <v>51012</v>
      </c>
      <c r="H43" s="15">
        <f t="shared" si="66"/>
        <v>53000</v>
      </c>
      <c r="I43" s="8">
        <v>53000</v>
      </c>
      <c r="J43" s="8">
        <v>6</v>
      </c>
      <c r="K43" s="8">
        <v>4</v>
      </c>
      <c r="L43" s="16">
        <f t="shared" ref="L43:L48" si="67">MAX(K43, J43 - (V43 * (J43 - K43) / 20000))</f>
        <v>4.1769999999999996</v>
      </c>
      <c r="M43" s="37">
        <f>((2*22*12*36)+(2*22*10*13))/3</f>
        <v>8242.6666666666661</v>
      </c>
      <c r="N43" s="15">
        <f t="shared" ref="N43:N48" si="68">IF(V43&gt;0,M43+L43*V43,0)</f>
        <v>84389.376666666663</v>
      </c>
      <c r="O43" s="15">
        <f t="shared" ref="O43:O48" si="69">IF(N43&gt;H43,H43,N43)</f>
        <v>53000</v>
      </c>
      <c r="Q43" s="15">
        <f t="shared" ref="Q43:Q48" si="70">O43+P43</f>
        <v>53000</v>
      </c>
      <c r="R43" s="15">
        <f t="shared" ref="R43:R48" si="71">SUMIF(B:B,B43,Q:Q)</f>
        <v>53000</v>
      </c>
      <c r="S43" s="17">
        <v>3.9E-2</v>
      </c>
      <c r="U43" s="18">
        <v>12753</v>
      </c>
      <c r="V43" s="18">
        <f>8388+2447+7395</f>
        <v>18230</v>
      </c>
      <c r="X43" s="18">
        <f t="shared" ref="X43:Y48" si="72">U43</f>
        <v>12753</v>
      </c>
      <c r="Y43" s="18">
        <f t="shared" si="72"/>
        <v>18230</v>
      </c>
      <c r="Z43" s="17">
        <f t="shared" ref="Z43:Z48" si="73">IF(AND(ISNUMBER(U43), U43&gt;0), (V43-U43)/U43, "")</f>
        <v>0.42946757625656706</v>
      </c>
      <c r="AA43" s="15">
        <v>638</v>
      </c>
      <c r="AB43" s="15">
        <f t="shared" ref="AB43:AB48" si="74">SUMIF(A:A,A43,Q:Q)</f>
        <v>676484.10167466663</v>
      </c>
      <c r="AC43" s="17">
        <v>0.1951</v>
      </c>
      <c r="AD43" s="15">
        <v>101861</v>
      </c>
      <c r="AE43" s="15">
        <v>103350</v>
      </c>
      <c r="AF43" s="17">
        <f t="shared" ref="AF43:AF49" si="75">(AE43-AD43)/AD43</f>
        <v>1.4617959768704411E-2</v>
      </c>
      <c r="AG43" s="15">
        <v>102500</v>
      </c>
      <c r="AH43" s="15">
        <v>96480</v>
      </c>
      <c r="AI43" s="17">
        <f t="shared" ref="AI43:AI49" si="76">(AH43-AG43)/AG43</f>
        <v>-5.8731707317073167E-2</v>
      </c>
      <c r="AJ43" s="15">
        <v>75886</v>
      </c>
      <c r="AK43" s="15">
        <v>80000</v>
      </c>
      <c r="AL43" s="17">
        <f t="shared" ref="AL43:AL49" si="77">(AK43-AJ43)/AJ43</f>
        <v>5.4212898294810637E-2</v>
      </c>
      <c r="AM43" s="20">
        <f t="shared" ref="AM43:AN49" si="78">AG43-E43</f>
        <v>51488</v>
      </c>
      <c r="AN43" s="20">
        <f t="shared" si="78"/>
        <v>43480</v>
      </c>
      <c r="AO43" s="17">
        <f t="shared" ref="AO43:AO49" si="79">(AN43-AM43)/AM43</f>
        <v>-0.1555313859540087</v>
      </c>
      <c r="AQ43" s="21"/>
    </row>
    <row r="44" spans="1:43" x14ac:dyDescent="0.35">
      <c r="A44" s="8" t="s">
        <v>58</v>
      </c>
      <c r="B44" s="36" t="s">
        <v>59</v>
      </c>
      <c r="C44" s="15">
        <v>10729</v>
      </c>
      <c r="D44" s="15">
        <v>13925</v>
      </c>
      <c r="E44" s="15">
        <v>15032</v>
      </c>
      <c r="F44" s="15">
        <v>16822</v>
      </c>
      <c r="G44" s="15">
        <f t="shared" si="66"/>
        <v>15032</v>
      </c>
      <c r="H44" s="15">
        <f t="shared" si="66"/>
        <v>16822</v>
      </c>
      <c r="I44" s="8">
        <v>15000</v>
      </c>
      <c r="J44" s="8">
        <v>5</v>
      </c>
      <c r="K44" s="8">
        <v>3</v>
      </c>
      <c r="L44" s="16">
        <f t="shared" si="67"/>
        <v>4.6833</v>
      </c>
      <c r="M44" s="37">
        <f>((1*22*2*36)+(2*22*10*13))/3</f>
        <v>2434.6666666666665</v>
      </c>
      <c r="N44" s="15">
        <f t="shared" si="68"/>
        <v>17266.677766666668</v>
      </c>
      <c r="O44" s="15">
        <f t="shared" si="69"/>
        <v>16822</v>
      </c>
      <c r="Q44" s="15">
        <f t="shared" si="70"/>
        <v>16822</v>
      </c>
      <c r="R44" s="15">
        <f t="shared" si="71"/>
        <v>152642.91105566666</v>
      </c>
      <c r="S44" s="17">
        <v>0.1191</v>
      </c>
      <c r="U44" s="18">
        <v>3758</v>
      </c>
      <c r="V44" s="18">
        <v>3167</v>
      </c>
      <c r="X44" s="18">
        <f t="shared" si="72"/>
        <v>3758</v>
      </c>
      <c r="Y44" s="18">
        <f t="shared" si="72"/>
        <v>3167</v>
      </c>
      <c r="Z44" s="17">
        <f t="shared" si="73"/>
        <v>-0.1572645023948909</v>
      </c>
      <c r="AA44" s="15">
        <f>AA8</f>
        <v>-18107</v>
      </c>
      <c r="AB44" s="15">
        <f t="shared" si="74"/>
        <v>152642.91105566666</v>
      </c>
      <c r="AC44" s="17">
        <v>0.2833</v>
      </c>
      <c r="AD44" s="15">
        <v>36680</v>
      </c>
      <c r="AE44" s="15">
        <v>29367</v>
      </c>
      <c r="AF44" s="17">
        <f t="shared" si="75"/>
        <v>-0.19937295528898583</v>
      </c>
      <c r="AG44" s="15">
        <v>37251</v>
      </c>
      <c r="AH44" s="15">
        <v>29367</v>
      </c>
      <c r="AI44" s="17">
        <f t="shared" si="76"/>
        <v>-0.21164532495771926</v>
      </c>
      <c r="AJ44" s="15">
        <v>21619</v>
      </c>
      <c r="AK44" s="15">
        <v>20540</v>
      </c>
      <c r="AL44" s="17">
        <f t="shared" si="77"/>
        <v>-4.9909801563439569E-2</v>
      </c>
      <c r="AM44" s="20">
        <f t="shared" si="78"/>
        <v>22219</v>
      </c>
      <c r="AN44" s="20">
        <f t="shared" si="78"/>
        <v>12545</v>
      </c>
      <c r="AO44" s="17">
        <f t="shared" si="79"/>
        <v>-0.43539313200414059</v>
      </c>
      <c r="AP44" s="21">
        <v>62</v>
      </c>
      <c r="AQ44" s="21">
        <v>74</v>
      </c>
    </row>
    <row r="45" spans="1:43" x14ac:dyDescent="0.35">
      <c r="A45" s="8" t="s">
        <v>65</v>
      </c>
      <c r="B45" s="36" t="s">
        <v>66</v>
      </c>
      <c r="C45" s="15">
        <v>19594</v>
      </c>
      <c r="D45" s="15">
        <v>15900</v>
      </c>
      <c r="E45" s="15">
        <v>18099</v>
      </c>
      <c r="F45" s="15">
        <v>23321</v>
      </c>
      <c r="G45" s="15">
        <f t="shared" si="66"/>
        <v>18099</v>
      </c>
      <c r="H45" s="15">
        <f t="shared" si="66"/>
        <v>23321</v>
      </c>
      <c r="I45" s="8">
        <v>15900</v>
      </c>
      <c r="J45" s="8">
        <v>5</v>
      </c>
      <c r="K45" s="8">
        <v>3</v>
      </c>
      <c r="L45" s="16">
        <f t="shared" si="67"/>
        <v>4.7999000000000001</v>
      </c>
      <c r="M45" s="37">
        <f>((0*22*2*36)+(2*22*10*13))/3</f>
        <v>1906.6666666666667</v>
      </c>
      <c r="N45" s="15">
        <f t="shared" si="68"/>
        <v>11511.266566666665</v>
      </c>
      <c r="O45" s="15">
        <f t="shared" si="69"/>
        <v>11511.266566666665</v>
      </c>
      <c r="Q45" s="15">
        <f t="shared" si="70"/>
        <v>11511.266566666665</v>
      </c>
      <c r="R45" s="15">
        <f t="shared" si="71"/>
        <v>100798.92258033331</v>
      </c>
      <c r="S45" s="17">
        <v>0.28849999999999998</v>
      </c>
      <c r="U45" s="18">
        <v>4625</v>
      </c>
      <c r="V45" s="18">
        <v>2001</v>
      </c>
      <c r="X45" s="18">
        <f t="shared" si="72"/>
        <v>4625</v>
      </c>
      <c r="Y45" s="18">
        <f t="shared" si="72"/>
        <v>2001</v>
      </c>
      <c r="Z45" s="17">
        <f t="shared" si="73"/>
        <v>-0.5673513513513514</v>
      </c>
      <c r="AA45" s="15">
        <f>AA23</f>
        <v>-8000</v>
      </c>
      <c r="AB45" s="15">
        <f t="shared" si="74"/>
        <v>100798.92258033331</v>
      </c>
      <c r="AC45" s="17">
        <v>0.315</v>
      </c>
      <c r="AD45" s="15">
        <v>24112</v>
      </c>
      <c r="AE45" s="15">
        <v>32840</v>
      </c>
      <c r="AF45" s="17">
        <f t="shared" si="75"/>
        <v>0.36197743861977438</v>
      </c>
      <c r="AG45" s="15">
        <v>29510</v>
      </c>
      <c r="AH45" s="15">
        <v>33090</v>
      </c>
      <c r="AI45" s="17">
        <f t="shared" si="76"/>
        <v>0.12131480853947814</v>
      </c>
      <c r="AJ45" s="15">
        <v>15738</v>
      </c>
      <c r="AK45" s="15">
        <v>19321</v>
      </c>
      <c r="AL45" s="17">
        <f t="shared" si="77"/>
        <v>0.22766552293811157</v>
      </c>
      <c r="AM45" s="20">
        <f t="shared" si="78"/>
        <v>11411</v>
      </c>
      <c r="AN45" s="20">
        <f t="shared" si="78"/>
        <v>9769</v>
      </c>
      <c r="AO45" s="17">
        <f t="shared" si="79"/>
        <v>-0.14389624046972219</v>
      </c>
      <c r="AP45" s="21">
        <v>94</v>
      </c>
      <c r="AQ45" s="21">
        <v>94</v>
      </c>
    </row>
    <row r="46" spans="1:43" x14ac:dyDescent="0.35">
      <c r="A46" s="8" t="s">
        <v>83</v>
      </c>
      <c r="B46" s="36" t="s">
        <v>76</v>
      </c>
      <c r="C46" s="15">
        <v>0</v>
      </c>
      <c r="D46" s="15">
        <v>0</v>
      </c>
      <c r="E46" s="15">
        <v>6307</v>
      </c>
      <c r="F46" s="15">
        <v>10302</v>
      </c>
      <c r="G46" s="15">
        <f t="shared" si="66"/>
        <v>6307</v>
      </c>
      <c r="H46" s="15">
        <f t="shared" si="66"/>
        <v>10302</v>
      </c>
      <c r="I46" s="8">
        <v>8000</v>
      </c>
      <c r="J46" s="8">
        <v>5</v>
      </c>
      <c r="K46" s="8">
        <v>3</v>
      </c>
      <c r="L46" s="16">
        <f t="shared" si="67"/>
        <v>4.7592999999999996</v>
      </c>
      <c r="M46" s="37">
        <f>((0*22*2*36)+(2*22*10*13))/3</f>
        <v>1906.6666666666667</v>
      </c>
      <c r="N46" s="15">
        <f t="shared" si="68"/>
        <v>13362.301766666666</v>
      </c>
      <c r="O46" s="15">
        <f t="shared" si="69"/>
        <v>10302</v>
      </c>
      <c r="Q46" s="15">
        <f t="shared" si="70"/>
        <v>10302</v>
      </c>
      <c r="R46" s="15">
        <f t="shared" si="71"/>
        <v>70808.786328666669</v>
      </c>
      <c r="S46" s="17">
        <v>0.63339999999999996</v>
      </c>
      <c r="U46" s="18">
        <v>2085</v>
      </c>
      <c r="V46" s="18">
        <v>2407</v>
      </c>
      <c r="X46" s="18">
        <f t="shared" si="72"/>
        <v>2085</v>
      </c>
      <c r="Y46" s="18">
        <f t="shared" si="72"/>
        <v>2407</v>
      </c>
      <c r="Z46" s="17">
        <f t="shared" si="73"/>
        <v>0.15443645083932853</v>
      </c>
      <c r="AA46" s="15">
        <f>AA39</f>
        <v>-387</v>
      </c>
      <c r="AB46" s="15">
        <f t="shared" si="74"/>
        <v>10302</v>
      </c>
      <c r="AC46" s="17">
        <v>0.63339999999999996</v>
      </c>
      <c r="AD46" s="15">
        <v>17009</v>
      </c>
      <c r="AE46" s="15">
        <v>20160</v>
      </c>
      <c r="AF46" s="17">
        <f t="shared" si="75"/>
        <v>0.18525486507143277</v>
      </c>
      <c r="AG46" s="15">
        <v>0</v>
      </c>
      <c r="AH46" s="15">
        <v>20160</v>
      </c>
      <c r="AI46" s="17" t="e">
        <f t="shared" si="76"/>
        <v>#DIV/0!</v>
      </c>
      <c r="AJ46" s="15">
        <v>11978</v>
      </c>
      <c r="AK46" s="15">
        <v>13150</v>
      </c>
      <c r="AL46" s="17">
        <f t="shared" si="77"/>
        <v>9.7846051093671726E-2</v>
      </c>
      <c r="AM46" s="20">
        <f t="shared" si="78"/>
        <v>-6307</v>
      </c>
      <c r="AN46" s="20">
        <f t="shared" si="78"/>
        <v>9858</v>
      </c>
      <c r="AO46" s="17">
        <f t="shared" si="79"/>
        <v>-2.5630252100840338</v>
      </c>
      <c r="AP46" s="21">
        <v>108</v>
      </c>
      <c r="AQ46" s="21">
        <v>108</v>
      </c>
    </row>
    <row r="47" spans="1:43" x14ac:dyDescent="0.35">
      <c r="A47" s="8" t="s">
        <v>84</v>
      </c>
      <c r="B47" s="36" t="s">
        <v>69</v>
      </c>
      <c r="C47" s="15">
        <v>0</v>
      </c>
      <c r="D47" s="15">
        <v>0</v>
      </c>
      <c r="E47" s="15">
        <v>38000</v>
      </c>
      <c r="F47" s="15">
        <v>40000</v>
      </c>
      <c r="G47" s="15">
        <f t="shared" si="66"/>
        <v>38000</v>
      </c>
      <c r="H47" s="15">
        <f t="shared" si="66"/>
        <v>40000</v>
      </c>
      <c r="I47" s="8">
        <v>40000</v>
      </c>
      <c r="J47" s="8">
        <v>5</v>
      </c>
      <c r="K47" s="8">
        <v>3</v>
      </c>
      <c r="L47" s="16">
        <f t="shared" si="67"/>
        <v>4.5923999999999996</v>
      </c>
      <c r="M47" s="37">
        <f>((1*22*2*36)+(2*22*10*13))/3</f>
        <v>2434.6666666666665</v>
      </c>
      <c r="N47" s="15">
        <f t="shared" si="68"/>
        <v>21153.289066666664</v>
      </c>
      <c r="O47" s="15">
        <f t="shared" si="69"/>
        <v>21153.289066666664</v>
      </c>
      <c r="Q47" s="15">
        <f t="shared" si="70"/>
        <v>21153.289066666664</v>
      </c>
      <c r="R47" s="15">
        <f t="shared" si="71"/>
        <v>148852.20888193115</v>
      </c>
      <c r="S47" s="17">
        <v>5.2600000000000001E-2</v>
      </c>
      <c r="U47" s="18">
        <v>0</v>
      </c>
      <c r="V47" s="18">
        <v>4076</v>
      </c>
      <c r="X47" s="18">
        <f t="shared" si="72"/>
        <v>0</v>
      </c>
      <c r="Y47" s="18">
        <f t="shared" si="72"/>
        <v>4076</v>
      </c>
      <c r="Z47" s="17" t="str">
        <f t="shared" si="73"/>
        <v/>
      </c>
      <c r="AA47" s="15">
        <f>AA32</f>
        <v>8500</v>
      </c>
      <c r="AB47" s="15">
        <f t="shared" si="74"/>
        <v>37600.289066666664</v>
      </c>
      <c r="AC47" s="17">
        <v>0.30959999999999999</v>
      </c>
      <c r="AD47" s="15">
        <v>47837</v>
      </c>
      <c r="AE47" s="15">
        <v>65323</v>
      </c>
      <c r="AF47" s="17">
        <f t="shared" si="75"/>
        <v>0.36553295566193533</v>
      </c>
      <c r="AG47" s="15">
        <v>54864</v>
      </c>
      <c r="AH47" s="15">
        <v>60785</v>
      </c>
      <c r="AI47" s="17">
        <f t="shared" si="76"/>
        <v>0.10792140565762613</v>
      </c>
      <c r="AJ47" s="15">
        <v>31293</v>
      </c>
      <c r="AK47" s="15">
        <v>28362</v>
      </c>
      <c r="AL47" s="17">
        <f t="shared" si="77"/>
        <v>-9.366311954750263E-2</v>
      </c>
      <c r="AM47" s="20">
        <f t="shared" si="78"/>
        <v>16864</v>
      </c>
      <c r="AN47" s="20">
        <f t="shared" si="78"/>
        <v>20785</v>
      </c>
      <c r="AO47" s="17">
        <f t="shared" si="79"/>
        <v>0.23250711574952562</v>
      </c>
      <c r="AP47" s="21">
        <v>71</v>
      </c>
      <c r="AQ47" s="21">
        <v>127</v>
      </c>
    </row>
    <row r="48" spans="1:43" x14ac:dyDescent="0.35">
      <c r="A48" s="8" t="s">
        <v>48</v>
      </c>
      <c r="B48" s="36" t="s">
        <v>64</v>
      </c>
      <c r="C48" s="15">
        <v>1240</v>
      </c>
      <c r="D48" s="15">
        <v>2028</v>
      </c>
      <c r="E48" s="15">
        <v>4230</v>
      </c>
      <c r="F48" s="15">
        <v>2825</v>
      </c>
      <c r="G48" s="15">
        <f t="shared" si="66"/>
        <v>4230</v>
      </c>
      <c r="H48" s="15">
        <f t="shared" si="66"/>
        <v>2825</v>
      </c>
      <c r="I48" s="8">
        <v>2825</v>
      </c>
      <c r="J48" s="8">
        <v>5</v>
      </c>
      <c r="K48" s="8">
        <v>3</v>
      </c>
      <c r="L48" s="16">
        <f t="shared" si="67"/>
        <v>4.8220999999999998</v>
      </c>
      <c r="M48" s="37">
        <f>((1*22*2*36)+(2*22*10*13))/3</f>
        <v>2434.6666666666665</v>
      </c>
      <c r="N48" s="15">
        <f t="shared" si="68"/>
        <v>11013.182566666666</v>
      </c>
      <c r="O48" s="15">
        <f t="shared" si="69"/>
        <v>2825</v>
      </c>
      <c r="Q48" s="15">
        <f t="shared" si="70"/>
        <v>2825</v>
      </c>
      <c r="R48" s="15">
        <f t="shared" si="71"/>
        <v>81347.415198909206</v>
      </c>
      <c r="S48" s="17">
        <v>-0.3322</v>
      </c>
      <c r="U48" s="18">
        <v>1712</v>
      </c>
      <c r="V48" s="18">
        <v>1779</v>
      </c>
      <c r="X48" s="18">
        <f t="shared" si="72"/>
        <v>1712</v>
      </c>
      <c r="Y48" s="18">
        <f t="shared" si="72"/>
        <v>1779</v>
      </c>
      <c r="Z48" s="17">
        <f t="shared" si="73"/>
        <v>3.9135514018691586E-2</v>
      </c>
      <c r="AB48" s="15">
        <f t="shared" si="74"/>
        <v>174647.41519890921</v>
      </c>
      <c r="AC48" s="17">
        <v>6.0199999999999997E-2</v>
      </c>
      <c r="AD48" s="15">
        <v>24655</v>
      </c>
      <c r="AE48" s="15">
        <v>25536</v>
      </c>
      <c r="AF48" s="17">
        <f t="shared" si="75"/>
        <v>3.5733117014804298E-2</v>
      </c>
      <c r="AG48" s="15">
        <v>19018</v>
      </c>
      <c r="AH48" s="15">
        <v>16751</v>
      </c>
      <c r="AI48" s="17">
        <f t="shared" si="76"/>
        <v>-0.11920286044799663</v>
      </c>
      <c r="AJ48" s="15">
        <v>13818</v>
      </c>
      <c r="AK48" s="15">
        <v>15620</v>
      </c>
      <c r="AL48" s="17">
        <f t="shared" si="77"/>
        <v>0.13040961065277173</v>
      </c>
      <c r="AM48" s="20">
        <f t="shared" si="78"/>
        <v>14788</v>
      </c>
      <c r="AN48" s="20">
        <f t="shared" si="78"/>
        <v>13926</v>
      </c>
      <c r="AO48" s="17">
        <f t="shared" si="79"/>
        <v>-5.8290505815526104E-2</v>
      </c>
      <c r="AP48" s="21">
        <v>80</v>
      </c>
      <c r="AQ48" s="21">
        <v>83</v>
      </c>
    </row>
    <row r="49" spans="1:43" x14ac:dyDescent="0.35">
      <c r="A49" s="22" t="s">
        <v>60</v>
      </c>
      <c r="B49" s="22" t="s">
        <v>86</v>
      </c>
      <c r="C49" s="23">
        <f t="shared" ref="C49:I49" si="80">SUM(C43:C48)</f>
        <v>83563</v>
      </c>
      <c r="D49" s="23">
        <f t="shared" si="80"/>
        <v>94853</v>
      </c>
      <c r="E49" s="23">
        <f t="shared" si="80"/>
        <v>132680</v>
      </c>
      <c r="F49" s="23">
        <f t="shared" si="80"/>
        <v>146270</v>
      </c>
      <c r="G49" s="23">
        <f t="shared" si="80"/>
        <v>132680</v>
      </c>
      <c r="H49" s="23">
        <f t="shared" si="80"/>
        <v>146270</v>
      </c>
      <c r="I49" s="23">
        <f t="shared" si="80"/>
        <v>134725</v>
      </c>
      <c r="J49" s="23"/>
      <c r="K49" s="23"/>
      <c r="L49" s="23"/>
      <c r="M49" s="38"/>
      <c r="N49" s="23">
        <f>SUM(N43:N48)</f>
        <v>158696.09439999997</v>
      </c>
      <c r="O49" s="23">
        <f>SUM(O43:O48)</f>
        <v>115613.55563333332</v>
      </c>
      <c r="P49" s="23">
        <f>SUM(P43:P48)</f>
        <v>0</v>
      </c>
      <c r="Q49" s="23">
        <f>SUM(Q43:Q48)</f>
        <v>115613.55563333332</v>
      </c>
      <c r="R49" s="23">
        <f>SUM(R43:R48)</f>
        <v>607450.24404550705</v>
      </c>
      <c r="S49" s="24">
        <f>IF(E49&gt;0,(F49-E49)/E49,"")</f>
        <v>0.10242689176967139</v>
      </c>
      <c r="T49" s="24"/>
      <c r="U49" s="25">
        <f>SUM(U43:U48)</f>
        <v>24933</v>
      </c>
      <c r="V49" s="25">
        <f>SUM(V43:V48)</f>
        <v>31660</v>
      </c>
      <c r="W49" s="25"/>
      <c r="X49" s="25">
        <f>SUM(X43:X48)</f>
        <v>24933</v>
      </c>
      <c r="Y49" s="25">
        <f>SUM(Y43:Y48)</f>
        <v>31660</v>
      </c>
      <c r="Z49" s="24">
        <f>IF(U49&gt;0,(V49-U49)/U49,"")</f>
        <v>0.26980307223358602</v>
      </c>
      <c r="AA49" s="23">
        <f>SUM(AA43:AA48)</f>
        <v>-17356</v>
      </c>
      <c r="AB49" s="23">
        <f>SUM(AB43:AB48)</f>
        <v>1152475.6395762423</v>
      </c>
      <c r="AC49" s="24"/>
      <c r="AD49" s="23">
        <f>SUM(AD43:AD48)</f>
        <v>252154</v>
      </c>
      <c r="AE49" s="23">
        <f>SUM(AE43:AE48)</f>
        <v>276576</v>
      </c>
      <c r="AF49" s="24">
        <f t="shared" si="75"/>
        <v>9.6853510156491671E-2</v>
      </c>
      <c r="AG49" s="23">
        <f>SUM(AG43:AG48)</f>
        <v>243143</v>
      </c>
      <c r="AH49" s="23">
        <f>SUM(AH43:AH48)</f>
        <v>256633</v>
      </c>
      <c r="AI49" s="24">
        <f t="shared" si="76"/>
        <v>5.5481753535984994E-2</v>
      </c>
      <c r="AJ49" s="23">
        <f>SUM(AJ43:AJ48)</f>
        <v>170332</v>
      </c>
      <c r="AK49" s="23">
        <f>SUM(AK43:AK48)</f>
        <v>176993</v>
      </c>
      <c r="AL49" s="24">
        <f t="shared" si="77"/>
        <v>3.9105981260127279E-2</v>
      </c>
      <c r="AM49" s="20">
        <f t="shared" si="78"/>
        <v>110463</v>
      </c>
      <c r="AN49" s="20">
        <f t="shared" si="78"/>
        <v>110363</v>
      </c>
      <c r="AO49" s="24">
        <f t="shared" si="79"/>
        <v>-9.0528050116328541E-4</v>
      </c>
      <c r="AP49" s="26"/>
      <c r="AQ49" s="21"/>
    </row>
    <row r="50" spans="1:43" x14ac:dyDescent="0.35">
      <c r="A50" s="9" t="s">
        <v>87</v>
      </c>
      <c r="B50" s="10"/>
      <c r="C50" s="11"/>
      <c r="D50" s="11"/>
      <c r="E50" s="11"/>
      <c r="F50" s="11"/>
      <c r="G50" s="11"/>
      <c r="H50" s="11"/>
      <c r="I50" s="10"/>
      <c r="J50" s="10"/>
      <c r="K50" s="10"/>
      <c r="L50" s="10"/>
      <c r="M50" s="35"/>
      <c r="N50" s="11"/>
      <c r="O50" s="11" t="str">
        <f>IF(ROUNDDOWN((O49-E49)/E49*100,0)&gt;0,"+"&amp;ROUNDDOWN((O49-E49)/E49*100,0)&amp;"% /2025",ROUNDDOWN((O49-E49)/E49*100,0)&amp;"% /2025")</f>
        <v>-12% /2025</v>
      </c>
      <c r="P50" s="11"/>
      <c r="Q50" s="11"/>
      <c r="R50" s="11"/>
      <c r="S50" s="12"/>
      <c r="T50" s="12"/>
      <c r="U50" s="13"/>
      <c r="V50" s="13"/>
      <c r="W50" s="13"/>
      <c r="X50" s="13"/>
      <c r="Y50" s="13"/>
      <c r="Z50" s="12"/>
      <c r="AA50" s="11"/>
      <c r="AB50" s="11"/>
      <c r="AC50" s="12"/>
      <c r="AD50" s="11"/>
      <c r="AE50" s="11"/>
      <c r="AF50" s="12"/>
      <c r="AG50" s="11"/>
      <c r="AH50" s="11"/>
      <c r="AI50" s="12"/>
      <c r="AJ50" s="11"/>
      <c r="AK50" s="11"/>
      <c r="AL50" s="12"/>
      <c r="AM50" s="12"/>
      <c r="AN50" s="12"/>
      <c r="AO50" s="12"/>
      <c r="AP50" s="14"/>
      <c r="AQ50" s="21"/>
    </row>
    <row r="51" spans="1:43" x14ac:dyDescent="0.35">
      <c r="A51" s="8" t="s">
        <v>62</v>
      </c>
      <c r="B51" s="36" t="s">
        <v>88</v>
      </c>
      <c r="C51" s="15">
        <v>10000</v>
      </c>
      <c r="D51" s="15">
        <v>23219</v>
      </c>
      <c r="E51" s="15">
        <v>23220</v>
      </c>
      <c r="F51" s="15">
        <v>23600</v>
      </c>
      <c r="G51" s="15">
        <f t="shared" ref="G51:H54" si="81">E51</f>
        <v>23220</v>
      </c>
      <c r="H51" s="15">
        <f t="shared" si="81"/>
        <v>23600</v>
      </c>
      <c r="I51" s="8">
        <v>23600</v>
      </c>
      <c r="J51" s="8">
        <v>0.7</v>
      </c>
      <c r="K51" s="8">
        <v>0.7</v>
      </c>
      <c r="L51" s="16">
        <f>MAX(K51, J51 - (V51 * (J51 - K51) / 60000))</f>
        <v>0.7</v>
      </c>
      <c r="N51" s="15">
        <f>IF(V51&gt;0,M51+L51*V51,0)</f>
        <v>24318.699999999997</v>
      </c>
      <c r="O51" s="15">
        <f t="shared" ref="O51:O65" si="82">IF(N51&gt;H51,H51,N51)</f>
        <v>23600</v>
      </c>
      <c r="Q51" s="15">
        <f t="shared" ref="Q51:Q65" si="83">O51+P51</f>
        <v>23600</v>
      </c>
      <c r="R51" s="15">
        <f>SUMIF(B:B,B51,Q:Q)</f>
        <v>23600</v>
      </c>
      <c r="S51" s="17">
        <v>1.6400000000000001E-2</v>
      </c>
      <c r="U51" s="18">
        <f>23899+9116</f>
        <v>33015</v>
      </c>
      <c r="V51" s="29">
        <f>25625+9116</f>
        <v>34741</v>
      </c>
      <c r="X51" s="18">
        <f t="shared" ref="X51:Y56" si="84">SUMIF($B:$B,$B51,U:U)</f>
        <v>33015</v>
      </c>
      <c r="Y51" s="18">
        <f t="shared" si="84"/>
        <v>34741</v>
      </c>
      <c r="Z51" s="17">
        <f>IF(AND(ISNUMBER(U51), U51&gt;0), (V51-U51)/U51, "")</f>
        <v>5.2279266999848556E-2</v>
      </c>
      <c r="AB51" s="15">
        <f t="shared" ref="AB51:AB65" si="85">SUMIF(A:A,A51,Q:Q)</f>
        <v>165097.52127616666</v>
      </c>
      <c r="AC51" s="17">
        <v>0.12939999999999999</v>
      </c>
      <c r="AD51" s="15">
        <v>74120</v>
      </c>
      <c r="AE51" s="15">
        <v>67769</v>
      </c>
      <c r="AF51" s="17">
        <f t="shared" ref="AF51:AF57" si="86">(AE51-AD51)/AD51</f>
        <v>-8.5685375067458172E-2</v>
      </c>
      <c r="AG51" s="15">
        <v>71092</v>
      </c>
      <c r="AH51" s="15">
        <v>67769</v>
      </c>
      <c r="AI51" s="17">
        <f t="shared" ref="AI51:AI57" si="87">(AH51-AG51)/AG51</f>
        <v>-4.674224947954763E-2</v>
      </c>
      <c r="AJ51" s="15">
        <v>52728</v>
      </c>
      <c r="AK51" s="15">
        <v>50779</v>
      </c>
      <c r="AL51" s="17">
        <f t="shared" ref="AL51:AL57" si="88">(AK51-AJ51)/AJ51</f>
        <v>-3.6963283265058412E-2</v>
      </c>
      <c r="AM51" s="20">
        <f t="shared" ref="AM51:AN54" si="89">AG51-E51</f>
        <v>47872</v>
      </c>
      <c r="AN51" s="20">
        <f t="shared" si="89"/>
        <v>44169</v>
      </c>
      <c r="AO51" s="17">
        <f t="shared" ref="AO51:AO57" si="90">(AN51-AM51)/AM51</f>
        <v>-7.7352105614973257E-2</v>
      </c>
      <c r="AP51" s="21">
        <v>166</v>
      </c>
      <c r="AQ51" s="21">
        <v>166</v>
      </c>
    </row>
    <row r="52" spans="1:43" x14ac:dyDescent="0.35">
      <c r="A52" s="8" t="s">
        <v>50</v>
      </c>
      <c r="B52" s="36" t="s">
        <v>89</v>
      </c>
      <c r="C52" s="15">
        <v>66100</v>
      </c>
      <c r="D52" s="15">
        <v>66100</v>
      </c>
      <c r="E52" s="15">
        <v>66100</v>
      </c>
      <c r="F52" s="15">
        <v>66100</v>
      </c>
      <c r="G52" s="15">
        <f t="shared" si="81"/>
        <v>66100</v>
      </c>
      <c r="H52" s="15">
        <f t="shared" si="81"/>
        <v>66100</v>
      </c>
      <c r="I52" s="8">
        <v>66100</v>
      </c>
      <c r="J52" s="8">
        <v>0.7</v>
      </c>
      <c r="K52" s="8">
        <v>0.7</v>
      </c>
      <c r="L52" s="16">
        <f>MAX(K52, J52 - (V52 * (J52 - K52) / 60000))</f>
        <v>0.7</v>
      </c>
      <c r="N52" s="15">
        <f>IF(V52&gt;0,M52+L52*V52,0)</f>
        <v>69300</v>
      </c>
      <c r="O52" s="15">
        <f t="shared" si="82"/>
        <v>66100</v>
      </c>
      <c r="Q52" s="15">
        <f t="shared" si="83"/>
        <v>66100</v>
      </c>
      <c r="R52" s="15">
        <f>SUMIF(B:B,B52,Q:Q)</f>
        <v>66100</v>
      </c>
      <c r="S52" s="17">
        <v>0</v>
      </c>
      <c r="U52" s="18">
        <v>94000</v>
      </c>
      <c r="V52" s="8">
        <v>99000</v>
      </c>
      <c r="X52" s="18">
        <f t="shared" si="84"/>
        <v>94000</v>
      </c>
      <c r="Y52" s="18">
        <f t="shared" si="84"/>
        <v>99000</v>
      </c>
      <c r="Z52" s="17">
        <f>IF(AND(ISNUMBER(U52), U52&gt;0), (V52-U52)/U52, "")</f>
        <v>5.3191489361702128E-2</v>
      </c>
      <c r="AB52" s="15">
        <f t="shared" si="85"/>
        <v>676484.10167466663</v>
      </c>
      <c r="AC52" s="17">
        <v>0</v>
      </c>
      <c r="AD52" s="15">
        <v>179143</v>
      </c>
      <c r="AE52" s="15">
        <v>174000</v>
      </c>
      <c r="AF52" s="17">
        <f t="shared" si="86"/>
        <v>-2.8708908525591288E-2</v>
      </c>
      <c r="AG52" s="15">
        <v>181864</v>
      </c>
      <c r="AH52" s="15">
        <v>175300</v>
      </c>
      <c r="AI52" s="17">
        <f t="shared" si="87"/>
        <v>-3.609290458804381E-2</v>
      </c>
      <c r="AJ52" s="15">
        <v>116249</v>
      </c>
      <c r="AK52" s="15">
        <v>118200</v>
      </c>
      <c r="AL52" s="17">
        <f t="shared" si="88"/>
        <v>1.6782940068301663E-2</v>
      </c>
      <c r="AM52" s="20">
        <f t="shared" si="89"/>
        <v>115764</v>
      </c>
      <c r="AN52" s="20">
        <f t="shared" si="89"/>
        <v>109200</v>
      </c>
      <c r="AO52" s="17">
        <f t="shared" si="90"/>
        <v>-5.6701565253446669E-2</v>
      </c>
      <c r="AP52" s="21">
        <v>35</v>
      </c>
      <c r="AQ52" s="21">
        <v>297</v>
      </c>
    </row>
    <row r="53" spans="1:43" x14ac:dyDescent="0.35">
      <c r="A53" s="8" t="s">
        <v>90</v>
      </c>
      <c r="B53" s="36" t="s">
        <v>91</v>
      </c>
      <c r="C53" s="15">
        <v>500</v>
      </c>
      <c r="D53" s="15">
        <v>500</v>
      </c>
      <c r="E53" s="15">
        <v>500</v>
      </c>
      <c r="F53" s="15">
        <v>500</v>
      </c>
      <c r="G53" s="15">
        <f t="shared" si="81"/>
        <v>500</v>
      </c>
      <c r="H53" s="15">
        <f t="shared" si="81"/>
        <v>500</v>
      </c>
      <c r="I53" s="8">
        <v>500</v>
      </c>
      <c r="J53" s="8">
        <v>1</v>
      </c>
      <c r="K53" s="8">
        <v>1</v>
      </c>
      <c r="L53" s="16">
        <f>MAX(K53, J53 - (V53 * (J53 - K53) / 60000))</f>
        <v>1</v>
      </c>
      <c r="N53" s="15">
        <f>IF(V53&gt;0,M53+L53*V53,0)</f>
        <v>0</v>
      </c>
      <c r="O53" s="15">
        <f t="shared" si="82"/>
        <v>0</v>
      </c>
      <c r="Q53" s="15">
        <f t="shared" si="83"/>
        <v>0</v>
      </c>
      <c r="R53" s="15">
        <f>SUMIF(B:B,B53,Q:Q)</f>
        <v>0</v>
      </c>
      <c r="S53" s="17">
        <v>0</v>
      </c>
      <c r="T53" s="15" t="s">
        <v>92</v>
      </c>
      <c r="X53" s="18">
        <f t="shared" si="84"/>
        <v>0</v>
      </c>
      <c r="Y53" s="18">
        <f t="shared" si="84"/>
        <v>0</v>
      </c>
      <c r="Z53" s="17" t="str">
        <f>IF(AND(ISNUMBER(U53), U53&gt;0), (V53-U53)/U53, "")</f>
        <v/>
      </c>
      <c r="AB53" s="15">
        <f t="shared" si="85"/>
        <v>0</v>
      </c>
      <c r="AC53" s="17">
        <v>0</v>
      </c>
      <c r="AF53" s="17" t="e">
        <f t="shared" si="86"/>
        <v>#DIV/0!</v>
      </c>
      <c r="AI53" s="17" t="e">
        <f t="shared" si="87"/>
        <v>#DIV/0!</v>
      </c>
      <c r="AL53" s="17" t="e">
        <f t="shared" si="88"/>
        <v>#DIV/0!</v>
      </c>
      <c r="AM53" s="20">
        <f t="shared" si="89"/>
        <v>-500</v>
      </c>
      <c r="AN53" s="20">
        <f t="shared" si="89"/>
        <v>-500</v>
      </c>
      <c r="AO53" s="17">
        <f t="shared" si="90"/>
        <v>0</v>
      </c>
      <c r="AQ53" s="21"/>
    </row>
    <row r="54" spans="1:43" x14ac:dyDescent="0.35">
      <c r="A54" s="8" t="s">
        <v>84</v>
      </c>
      <c r="B54" s="36" t="s">
        <v>93</v>
      </c>
      <c r="C54" s="15">
        <v>1000</v>
      </c>
      <c r="D54" s="15">
        <v>3000</v>
      </c>
      <c r="E54" s="15">
        <v>21022</v>
      </c>
      <c r="F54" s="15">
        <v>37296</v>
      </c>
      <c r="G54" s="15">
        <f t="shared" si="81"/>
        <v>21022</v>
      </c>
      <c r="H54" s="15">
        <f t="shared" si="81"/>
        <v>37296</v>
      </c>
      <c r="I54" s="8" t="s">
        <v>131</v>
      </c>
      <c r="J54" s="8">
        <v>1</v>
      </c>
      <c r="K54" s="8">
        <v>1</v>
      </c>
      <c r="L54" s="16">
        <f>MAX(K54, J54 - (V54 * (J54 - K54) / 60000))</f>
        <v>1</v>
      </c>
      <c r="N54" s="15">
        <f>IF(V54&gt;0,M54+L54*V54,0)</f>
        <v>16447</v>
      </c>
      <c r="O54" s="15">
        <f t="shared" si="82"/>
        <v>16447</v>
      </c>
      <c r="Q54" s="15">
        <f t="shared" si="83"/>
        <v>16447</v>
      </c>
      <c r="R54" s="15">
        <f>SUMIF(B:B,B54,Q:Q)</f>
        <v>16447</v>
      </c>
      <c r="S54" s="17">
        <v>0.77410000000000001</v>
      </c>
      <c r="V54" s="8">
        <v>16447</v>
      </c>
      <c r="X54" s="18">
        <f t="shared" si="84"/>
        <v>0</v>
      </c>
      <c r="Y54" s="18">
        <f t="shared" si="84"/>
        <v>16447</v>
      </c>
      <c r="Z54" s="17" t="str">
        <f>IF(AND(ISNUMBER(U54), U54&gt;0), (V54-U54)/U54, "")</f>
        <v/>
      </c>
      <c r="AA54" s="15">
        <v>11554</v>
      </c>
      <c r="AB54" s="15">
        <f t="shared" si="85"/>
        <v>37600.289066666664</v>
      </c>
      <c r="AC54" s="17">
        <v>0.30959999999999999</v>
      </c>
      <c r="AD54" s="15">
        <v>61123</v>
      </c>
      <c r="AE54" s="15">
        <v>76530</v>
      </c>
      <c r="AF54" s="17">
        <f t="shared" si="86"/>
        <v>0.25206550725586113</v>
      </c>
      <c r="AG54" s="15">
        <v>72677</v>
      </c>
      <c r="AH54" s="15">
        <v>76530</v>
      </c>
      <c r="AI54" s="17">
        <f t="shared" si="87"/>
        <v>5.3015396893102355E-2</v>
      </c>
      <c r="AJ54" s="15">
        <v>40261</v>
      </c>
      <c r="AK54" s="15">
        <v>42000</v>
      </c>
      <c r="AL54" s="17">
        <f t="shared" si="88"/>
        <v>4.3193164600978613E-2</v>
      </c>
      <c r="AM54" s="20">
        <f t="shared" si="89"/>
        <v>51655</v>
      </c>
      <c r="AN54" s="20">
        <f t="shared" si="89"/>
        <v>39234</v>
      </c>
      <c r="AO54" s="17">
        <f t="shared" si="90"/>
        <v>-0.24046074920143259</v>
      </c>
      <c r="AP54" s="21">
        <v>136</v>
      </c>
      <c r="AQ54" s="21">
        <v>278</v>
      </c>
    </row>
    <row r="55" spans="1:43" x14ac:dyDescent="0.35">
      <c r="A55" s="8" t="s">
        <v>50</v>
      </c>
      <c r="B55" s="36" t="s">
        <v>94</v>
      </c>
      <c r="C55" s="28">
        <f>95048*H55/F55</f>
        <v>48979.422500000001</v>
      </c>
      <c r="D55" s="28">
        <f>101579*H55/F55</f>
        <v>52344.928437499999</v>
      </c>
      <c r="E55" s="28">
        <f>107000*H55/F55</f>
        <v>55138.4375</v>
      </c>
      <c r="F55" s="15">
        <v>80000</v>
      </c>
      <c r="G55" s="15">
        <f>E55</f>
        <v>55138.4375</v>
      </c>
      <c r="H55" s="15">
        <v>41225</v>
      </c>
      <c r="L55" s="16"/>
      <c r="M55" s="37">
        <f>22*7*5*52/2</f>
        <v>20020</v>
      </c>
      <c r="N55" s="15">
        <f>22*7*5*52/2</f>
        <v>20020</v>
      </c>
      <c r="O55" s="15">
        <f t="shared" si="82"/>
        <v>20020</v>
      </c>
      <c r="P55" s="15">
        <v>-740</v>
      </c>
      <c r="Q55" s="15">
        <f t="shared" si="83"/>
        <v>19280</v>
      </c>
      <c r="R55" s="15">
        <f>Q55+Q56+Q57</f>
        <v>53500</v>
      </c>
      <c r="V55" s="8">
        <v>0</v>
      </c>
      <c r="X55" s="18">
        <f t="shared" si="84"/>
        <v>0</v>
      </c>
      <c r="Y55" s="18">
        <f t="shared" si="84"/>
        <v>0</v>
      </c>
      <c r="AA55" s="15">
        <v>39389</v>
      </c>
      <c r="AB55" s="15">
        <f t="shared" si="85"/>
        <v>676484.10167466663</v>
      </c>
      <c r="AC55" s="17">
        <v>0.30959999999999999</v>
      </c>
      <c r="AD55" s="15">
        <v>344364</v>
      </c>
      <c r="AE55" s="15">
        <v>389900</v>
      </c>
      <c r="AF55" s="17">
        <f t="shared" si="86"/>
        <v>0.13223217293329151</v>
      </c>
      <c r="AG55" s="15">
        <v>383753</v>
      </c>
      <c r="AH55" s="15">
        <v>393215</v>
      </c>
      <c r="AI55" s="17">
        <f t="shared" si="87"/>
        <v>2.4656484770151633E-2</v>
      </c>
      <c r="AJ55" s="15">
        <v>188311</v>
      </c>
      <c r="AK55" s="15">
        <v>235000</v>
      </c>
      <c r="AL55" s="17">
        <f t="shared" si="88"/>
        <v>0.24793559590252295</v>
      </c>
      <c r="AM55" s="20">
        <f>383753-107000</f>
        <v>276753</v>
      </c>
      <c r="AN55" s="20">
        <f>396015-80000</f>
        <v>316015</v>
      </c>
      <c r="AO55" s="17">
        <f t="shared" si="90"/>
        <v>0.14186657416541104</v>
      </c>
      <c r="AP55" s="21">
        <f>246328/344365*365</f>
        <v>261.08843813976449</v>
      </c>
      <c r="AQ55" s="21">
        <f>(250430-93478)/344365*365</f>
        <v>166.35685972732421</v>
      </c>
    </row>
    <row r="56" spans="1:43" x14ac:dyDescent="0.35">
      <c r="A56" s="8" t="s">
        <v>50</v>
      </c>
      <c r="B56" s="36" t="s">
        <v>96</v>
      </c>
      <c r="C56" s="28">
        <f>95048*H56/F56</f>
        <v>16871.02</v>
      </c>
      <c r="D56" s="28">
        <f>101579*H56/F56</f>
        <v>18030.272499999999</v>
      </c>
      <c r="E56" s="28">
        <f>107000*H56/F56</f>
        <v>18992.5</v>
      </c>
      <c r="F56" s="15">
        <v>80000</v>
      </c>
      <c r="G56" s="15">
        <f>E56</f>
        <v>18992.5</v>
      </c>
      <c r="H56" s="15">
        <v>14200</v>
      </c>
      <c r="L56" s="16"/>
      <c r="M56" s="37">
        <f>22*7*5*52/2</f>
        <v>20020</v>
      </c>
      <c r="N56" s="15">
        <f>22*7*5*52/2</f>
        <v>20020</v>
      </c>
      <c r="O56" s="15">
        <f t="shared" si="82"/>
        <v>14200</v>
      </c>
      <c r="Q56" s="15">
        <f t="shared" si="83"/>
        <v>14200</v>
      </c>
      <c r="R56" s="15">
        <f>Q55+Q56+Q57</f>
        <v>53500</v>
      </c>
      <c r="T56" s="17" t="s">
        <v>97</v>
      </c>
      <c r="V56" s="8">
        <v>0</v>
      </c>
      <c r="X56" s="18">
        <f t="shared" si="84"/>
        <v>0</v>
      </c>
      <c r="Y56" s="18">
        <f t="shared" si="84"/>
        <v>0</v>
      </c>
      <c r="AA56" s="15">
        <v>39389</v>
      </c>
      <c r="AB56" s="15">
        <f t="shared" si="85"/>
        <v>676484.10167466663</v>
      </c>
      <c r="AC56" s="17">
        <v>0.30959999999999999</v>
      </c>
      <c r="AD56" s="15">
        <v>344364</v>
      </c>
      <c r="AE56" s="15">
        <v>389900</v>
      </c>
      <c r="AF56" s="17">
        <f t="shared" si="86"/>
        <v>0.13223217293329151</v>
      </c>
      <c r="AG56" s="15">
        <v>383753</v>
      </c>
      <c r="AH56" s="15">
        <v>393215</v>
      </c>
      <c r="AI56" s="17">
        <f t="shared" si="87"/>
        <v>2.4656484770151633E-2</v>
      </c>
      <c r="AJ56" s="15">
        <v>188311</v>
      </c>
      <c r="AK56" s="15">
        <v>235000</v>
      </c>
      <c r="AL56" s="17">
        <f t="shared" si="88"/>
        <v>0.24793559590252295</v>
      </c>
      <c r="AM56" s="20">
        <f>383753-107000</f>
        <v>276753</v>
      </c>
      <c r="AN56" s="20">
        <f>396015-80000</f>
        <v>316015</v>
      </c>
      <c r="AO56" s="17">
        <f t="shared" si="90"/>
        <v>0.14186657416541104</v>
      </c>
      <c r="AP56" s="21">
        <f>246328/344365*365</f>
        <v>261.08843813976449</v>
      </c>
      <c r="AQ56" s="21">
        <f>(250430-93478)/344365*365</f>
        <v>166.35685972732421</v>
      </c>
    </row>
    <row r="57" spans="1:43" x14ac:dyDescent="0.35">
      <c r="A57" s="8" t="s">
        <v>50</v>
      </c>
      <c r="B57" s="36" t="s">
        <v>98</v>
      </c>
      <c r="C57" s="28">
        <f>95048*H57/F57</f>
        <v>29197.557499999999</v>
      </c>
      <c r="D57" s="28">
        <f>101579*H57/F57</f>
        <v>31203.799062499998</v>
      </c>
      <c r="E57" s="28">
        <f>107000*H57/F57</f>
        <v>32869.0625</v>
      </c>
      <c r="F57" s="15">
        <v>80000</v>
      </c>
      <c r="G57" s="15">
        <f>E57</f>
        <v>32869.0625</v>
      </c>
      <c r="H57" s="15">
        <v>24575</v>
      </c>
      <c r="L57" s="16">
        <v>1</v>
      </c>
      <c r="M57" s="37">
        <f>22*7*5*52/2*2/2</f>
        <v>20020</v>
      </c>
      <c r="N57" s="15">
        <f>22*7*5*52/2*2/2</f>
        <v>20020</v>
      </c>
      <c r="O57" s="15">
        <f t="shared" si="82"/>
        <v>20020</v>
      </c>
      <c r="Q57" s="15">
        <f t="shared" si="83"/>
        <v>20020</v>
      </c>
      <c r="R57" s="15">
        <f>Q55+Q56+Q57</f>
        <v>53500</v>
      </c>
      <c r="V57" s="8">
        <v>32000</v>
      </c>
      <c r="AA57" s="15">
        <v>39389</v>
      </c>
      <c r="AB57" s="15">
        <f t="shared" si="85"/>
        <v>676484.10167466663</v>
      </c>
      <c r="AC57" s="17">
        <v>0.30959999999999999</v>
      </c>
      <c r="AD57" s="15">
        <v>344364</v>
      </c>
      <c r="AE57" s="15">
        <v>389900</v>
      </c>
      <c r="AF57" s="17">
        <f t="shared" si="86"/>
        <v>0.13223217293329151</v>
      </c>
      <c r="AG57" s="15">
        <v>383753</v>
      </c>
      <c r="AH57" s="15">
        <v>393215</v>
      </c>
      <c r="AI57" s="17">
        <f t="shared" si="87"/>
        <v>2.4656484770151633E-2</v>
      </c>
      <c r="AJ57" s="15">
        <v>188311</v>
      </c>
      <c r="AK57" s="15">
        <v>235000</v>
      </c>
      <c r="AL57" s="17">
        <f t="shared" si="88"/>
        <v>0.24793559590252295</v>
      </c>
      <c r="AM57" s="20">
        <f>383753-107000</f>
        <v>276753</v>
      </c>
      <c r="AN57" s="20">
        <f>396015-80000</f>
        <v>316015</v>
      </c>
      <c r="AO57" s="17">
        <f t="shared" si="90"/>
        <v>0.14186657416541104</v>
      </c>
      <c r="AP57" s="21">
        <f>246328/344365*365</f>
        <v>261.08843813976449</v>
      </c>
      <c r="AQ57" s="21">
        <f>(250430-93478)/344365*365</f>
        <v>166.35685972732421</v>
      </c>
    </row>
    <row r="58" spans="1:43" x14ac:dyDescent="0.35">
      <c r="A58" s="8" t="s">
        <v>50</v>
      </c>
      <c r="B58" s="36" t="s">
        <v>99</v>
      </c>
      <c r="C58" s="15">
        <v>30704</v>
      </c>
      <c r="D58" s="15">
        <v>31540</v>
      </c>
      <c r="E58" s="15">
        <v>31540</v>
      </c>
      <c r="F58" s="15">
        <v>31540</v>
      </c>
      <c r="G58" s="15">
        <v>31540</v>
      </c>
      <c r="H58" s="15">
        <v>31540</v>
      </c>
      <c r="L58" s="16"/>
      <c r="N58" s="15">
        <v>31540</v>
      </c>
      <c r="O58" s="15">
        <f t="shared" si="82"/>
        <v>31540</v>
      </c>
      <c r="Q58" s="15">
        <f t="shared" si="83"/>
        <v>31540</v>
      </c>
      <c r="R58" s="15">
        <f t="shared" ref="R58:R65" si="91">SUMIF(B:B,B58,Q:Q)</f>
        <v>31540</v>
      </c>
      <c r="V58" s="8"/>
      <c r="AB58" s="15">
        <f t="shared" si="85"/>
        <v>676484.10167466663</v>
      </c>
      <c r="AF58" s="17"/>
      <c r="AI58" s="17"/>
      <c r="AL58" s="17"/>
      <c r="AM58" s="20"/>
      <c r="AN58" s="20"/>
      <c r="AO58" s="17"/>
      <c r="AQ58" s="21"/>
    </row>
    <row r="59" spans="1:43" x14ac:dyDescent="0.35">
      <c r="A59" s="8" t="s">
        <v>50</v>
      </c>
      <c r="B59" s="36" t="s">
        <v>100</v>
      </c>
      <c r="C59" s="15">
        <v>500</v>
      </c>
      <c r="D59" s="15">
        <v>500</v>
      </c>
      <c r="E59" s="15">
        <v>500</v>
      </c>
      <c r="F59" s="15">
        <v>1500</v>
      </c>
      <c r="G59" s="15">
        <v>500</v>
      </c>
      <c r="H59" s="15">
        <v>1500</v>
      </c>
      <c r="L59" s="16"/>
      <c r="N59" s="15">
        <v>0</v>
      </c>
      <c r="O59" s="15">
        <f t="shared" si="82"/>
        <v>0</v>
      </c>
      <c r="Q59" s="15">
        <f t="shared" si="83"/>
        <v>0</v>
      </c>
      <c r="R59" s="15">
        <f t="shared" si="91"/>
        <v>0</v>
      </c>
      <c r="T59" s="17" t="s">
        <v>101</v>
      </c>
      <c r="V59" s="8"/>
      <c r="AB59" s="15">
        <f t="shared" si="85"/>
        <v>676484.10167466663</v>
      </c>
      <c r="AF59" s="17"/>
      <c r="AI59" s="17"/>
      <c r="AL59" s="17"/>
      <c r="AM59" s="20"/>
      <c r="AN59" s="20"/>
      <c r="AO59" s="17"/>
      <c r="AQ59" s="21"/>
    </row>
    <row r="60" spans="1:43" x14ac:dyDescent="0.35">
      <c r="A60" s="8" t="s">
        <v>50</v>
      </c>
      <c r="B60" s="36" t="s">
        <v>102</v>
      </c>
      <c r="C60" s="15">
        <v>1050</v>
      </c>
      <c r="D60" s="15">
        <v>2025</v>
      </c>
      <c r="E60" s="15">
        <v>2025</v>
      </c>
      <c r="F60" s="15">
        <v>2600</v>
      </c>
      <c r="G60" s="15">
        <v>2025</v>
      </c>
      <c r="H60" s="15">
        <v>2600</v>
      </c>
      <c r="L60" s="16"/>
      <c r="N60" s="15">
        <v>500</v>
      </c>
      <c r="O60" s="15">
        <f t="shared" si="82"/>
        <v>500</v>
      </c>
      <c r="Q60" s="15">
        <f t="shared" si="83"/>
        <v>500</v>
      </c>
      <c r="R60" s="15">
        <f t="shared" si="91"/>
        <v>500</v>
      </c>
      <c r="T60" s="17" t="s">
        <v>103</v>
      </c>
      <c r="V60" s="8"/>
      <c r="AB60" s="15">
        <f t="shared" si="85"/>
        <v>676484.10167466663</v>
      </c>
      <c r="AF60" s="17"/>
      <c r="AI60" s="17"/>
      <c r="AL60" s="17"/>
      <c r="AM60" s="20"/>
      <c r="AN60" s="20"/>
      <c r="AO60" s="17"/>
      <c r="AQ60" s="21"/>
    </row>
    <row r="61" spans="1:43" x14ac:dyDescent="0.35">
      <c r="A61" s="8" t="s">
        <v>50</v>
      </c>
      <c r="B61" s="36" t="s">
        <v>104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L61" s="16"/>
      <c r="N61" s="15">
        <v>0</v>
      </c>
      <c r="O61" s="15">
        <f t="shared" si="82"/>
        <v>0</v>
      </c>
      <c r="Q61" s="15">
        <f t="shared" si="83"/>
        <v>0</v>
      </c>
      <c r="R61" s="15">
        <f t="shared" si="91"/>
        <v>0</v>
      </c>
      <c r="T61" s="17" t="s">
        <v>105</v>
      </c>
      <c r="V61" s="8"/>
      <c r="AB61" s="15">
        <f t="shared" si="85"/>
        <v>676484.10167466663</v>
      </c>
      <c r="AF61" s="17"/>
      <c r="AI61" s="17"/>
      <c r="AL61" s="17"/>
      <c r="AM61" s="20"/>
      <c r="AN61" s="20"/>
      <c r="AO61" s="17"/>
      <c r="AQ61" s="21"/>
    </row>
    <row r="62" spans="1:43" x14ac:dyDescent="0.35">
      <c r="A62" s="8" t="s">
        <v>50</v>
      </c>
      <c r="B62" s="36" t="s">
        <v>106</v>
      </c>
      <c r="C62" s="15">
        <v>0</v>
      </c>
      <c r="D62" s="15">
        <v>1500</v>
      </c>
      <c r="E62" s="15">
        <v>1500</v>
      </c>
      <c r="F62" s="15">
        <v>6000</v>
      </c>
      <c r="G62" s="15">
        <v>1500</v>
      </c>
      <c r="H62" s="15">
        <v>6000</v>
      </c>
      <c r="L62" s="16"/>
      <c r="N62" s="15">
        <v>1500</v>
      </c>
      <c r="O62" s="15">
        <f t="shared" si="82"/>
        <v>1500</v>
      </c>
      <c r="Q62" s="15">
        <f t="shared" si="83"/>
        <v>1500</v>
      </c>
      <c r="R62" s="15">
        <f t="shared" si="91"/>
        <v>1500</v>
      </c>
      <c r="T62" s="17" t="s">
        <v>107</v>
      </c>
      <c r="V62" s="8"/>
      <c r="AB62" s="15">
        <f t="shared" si="85"/>
        <v>676484.10167466663</v>
      </c>
      <c r="AF62" s="17"/>
      <c r="AI62" s="17"/>
      <c r="AL62" s="17"/>
      <c r="AM62" s="20"/>
      <c r="AN62" s="20"/>
      <c r="AO62" s="17"/>
      <c r="AQ62" s="21"/>
    </row>
    <row r="63" spans="1:43" x14ac:dyDescent="0.35">
      <c r="A63" s="8" t="s">
        <v>50</v>
      </c>
      <c r="B63" s="36" t="s">
        <v>108</v>
      </c>
      <c r="D63" s="15">
        <v>3430.13</v>
      </c>
      <c r="E63" s="15">
        <v>3500</v>
      </c>
      <c r="F63" s="15">
        <v>3454.44</v>
      </c>
      <c r="G63" s="15">
        <v>3500</v>
      </c>
      <c r="H63" s="15">
        <v>3454</v>
      </c>
      <c r="L63" s="16"/>
      <c r="N63" s="15">
        <v>3454</v>
      </c>
      <c r="O63" s="15">
        <f t="shared" si="82"/>
        <v>3454</v>
      </c>
      <c r="Q63" s="15">
        <f t="shared" si="83"/>
        <v>3454</v>
      </c>
      <c r="R63" s="15">
        <f t="shared" si="91"/>
        <v>3454</v>
      </c>
      <c r="T63" s="17" t="s">
        <v>109</v>
      </c>
      <c r="V63" s="8"/>
      <c r="AB63" s="15">
        <f t="shared" si="85"/>
        <v>676484.10167466663</v>
      </c>
      <c r="AF63" s="17"/>
      <c r="AI63" s="17"/>
      <c r="AL63" s="17"/>
      <c r="AM63" s="20"/>
      <c r="AN63" s="20"/>
      <c r="AO63" s="17"/>
      <c r="AQ63" s="21"/>
    </row>
    <row r="64" spans="1:43" x14ac:dyDescent="0.35">
      <c r="A64" s="8" t="s">
        <v>50</v>
      </c>
      <c r="B64" s="36" t="s">
        <v>110</v>
      </c>
      <c r="C64" s="15">
        <v>500</v>
      </c>
      <c r="D64" s="15">
        <v>800</v>
      </c>
      <c r="E64" s="15">
        <v>800</v>
      </c>
      <c r="F64" s="15">
        <v>1000</v>
      </c>
      <c r="G64" s="15">
        <v>800</v>
      </c>
      <c r="H64" s="15">
        <v>1000</v>
      </c>
      <c r="L64" s="16"/>
      <c r="N64" s="15">
        <v>1000</v>
      </c>
      <c r="O64" s="15">
        <f t="shared" si="82"/>
        <v>1000</v>
      </c>
      <c r="Q64" s="15">
        <f t="shared" si="83"/>
        <v>1000</v>
      </c>
      <c r="R64" s="15">
        <f t="shared" si="91"/>
        <v>1000</v>
      </c>
      <c r="V64" s="8"/>
      <c r="AB64" s="15">
        <f t="shared" si="85"/>
        <v>676484.10167466663</v>
      </c>
      <c r="AF64" s="17"/>
      <c r="AI64" s="17"/>
      <c r="AL64" s="17"/>
      <c r="AM64" s="20"/>
      <c r="AN64" s="20"/>
      <c r="AO64" s="17"/>
      <c r="AQ64" s="21"/>
    </row>
    <row r="65" spans="1:43" x14ac:dyDescent="0.35">
      <c r="A65" s="8" t="s">
        <v>50</v>
      </c>
      <c r="B65" s="36" t="s">
        <v>111</v>
      </c>
      <c r="C65" s="15">
        <v>1000</v>
      </c>
      <c r="D65" s="15">
        <v>1000</v>
      </c>
      <c r="E65" s="15">
        <v>1000</v>
      </c>
      <c r="F65" s="15">
        <v>1000</v>
      </c>
      <c r="G65" s="15">
        <v>1000</v>
      </c>
      <c r="H65" s="15">
        <v>1000</v>
      </c>
      <c r="L65" s="16"/>
      <c r="N65" s="15">
        <v>1000</v>
      </c>
      <c r="O65" s="15">
        <f t="shared" si="82"/>
        <v>1000</v>
      </c>
      <c r="Q65" s="15">
        <f t="shared" si="83"/>
        <v>1000</v>
      </c>
      <c r="R65" s="15">
        <f t="shared" si="91"/>
        <v>1000</v>
      </c>
      <c r="V65" s="8"/>
      <c r="AB65" s="15">
        <f t="shared" si="85"/>
        <v>676484.10167466663</v>
      </c>
      <c r="AF65" s="17"/>
      <c r="AI65" s="17"/>
      <c r="AL65" s="17"/>
      <c r="AM65" s="20"/>
      <c r="AN65" s="20"/>
      <c r="AO65" s="17"/>
      <c r="AQ65" s="21"/>
    </row>
    <row r="66" spans="1:43" x14ac:dyDescent="0.35">
      <c r="A66" s="22" t="s">
        <v>60</v>
      </c>
      <c r="B66" s="22" t="s">
        <v>87</v>
      </c>
      <c r="C66" s="23">
        <f t="shared" ref="C66:I66" si="92">SUM(C51:C65)</f>
        <v>206402</v>
      </c>
      <c r="D66" s="23">
        <f t="shared" si="92"/>
        <v>235193.13</v>
      </c>
      <c r="E66" s="23">
        <f t="shared" si="92"/>
        <v>258707</v>
      </c>
      <c r="F66" s="23">
        <f t="shared" si="92"/>
        <v>414590.44</v>
      </c>
      <c r="G66" s="23">
        <f t="shared" si="92"/>
        <v>258707</v>
      </c>
      <c r="H66" s="23">
        <f t="shared" si="92"/>
        <v>254590</v>
      </c>
      <c r="I66" s="23">
        <f t="shared" si="92"/>
        <v>90200</v>
      </c>
      <c r="J66" s="23"/>
      <c r="K66" s="23"/>
      <c r="L66" s="23"/>
      <c r="M66" s="38"/>
      <c r="N66" s="23">
        <f>SUM(N51:N65)</f>
        <v>209119.7</v>
      </c>
      <c r="O66" s="23">
        <f>SUM(O51:O65)</f>
        <v>199381</v>
      </c>
      <c r="P66" s="23">
        <f>SUM(P51:P65)</f>
        <v>-740</v>
      </c>
      <c r="Q66" s="23">
        <f>SUM(Q51:Q65)</f>
        <v>198641</v>
      </c>
      <c r="R66" s="23">
        <f>SUM(R51:R65)</f>
        <v>305641</v>
      </c>
      <c r="S66" s="24">
        <f>IF(E66&gt;0,(F66-E66)/E66,"")</f>
        <v>0.60254821091041222</v>
      </c>
      <c r="T66" s="24"/>
      <c r="U66" s="25">
        <f>SUM(U51:U54)</f>
        <v>127015</v>
      </c>
      <c r="V66" s="25">
        <f>SUM(V51:V54)</f>
        <v>150188</v>
      </c>
      <c r="W66" s="25"/>
      <c r="X66" s="25">
        <f>SUM(X51:X56)</f>
        <v>127015</v>
      </c>
      <c r="Y66" s="25">
        <f>SUM(Y51:Y56)</f>
        <v>150188</v>
      </c>
      <c r="Z66" s="24">
        <f>IF(U66&gt;0,(V66-U66)/U66,"")</f>
        <v>0.18244301854111719</v>
      </c>
      <c r="AA66" s="23">
        <f>SUM(AA51:AA54)</f>
        <v>11554</v>
      </c>
      <c r="AB66" s="23">
        <f>SUM(AB51:AB54)</f>
        <v>879181.91201749991</v>
      </c>
      <c r="AC66" s="24"/>
      <c r="AD66" s="23">
        <f>SUM(AD51:AD55)</f>
        <v>658750</v>
      </c>
      <c r="AE66" s="23">
        <f>SUM(AE51:AE55)</f>
        <v>708199</v>
      </c>
      <c r="AF66" s="24">
        <f>(AE66-AD66)/AD66</f>
        <v>7.5064895635673617E-2</v>
      </c>
      <c r="AG66" s="23">
        <f>SUM(AG51:AG55)</f>
        <v>709386</v>
      </c>
      <c r="AH66" s="23">
        <f>SUM(AH51:AH55)</f>
        <v>712814</v>
      </c>
      <c r="AI66" s="24">
        <f>(AH66-AG66)/AG66</f>
        <v>4.8323479741635726E-3</v>
      </c>
      <c r="AJ66" s="23">
        <f>SUM(AJ51:AJ55)</f>
        <v>397549</v>
      </c>
      <c r="AK66" s="23">
        <f>SUM(AK51:AK55)</f>
        <v>445979</v>
      </c>
      <c r="AL66" s="24">
        <f>(AK66-AJ66)/AJ66</f>
        <v>0.12182146100229155</v>
      </c>
      <c r="AM66" s="20">
        <f>AG66-E66</f>
        <v>450679</v>
      </c>
      <c r="AN66" s="20">
        <f>AH66-F66</f>
        <v>298223.56</v>
      </c>
      <c r="AO66" s="24">
        <f>(AN66-AM66)/AM66</f>
        <v>-0.3382794405774398</v>
      </c>
      <c r="AP66" s="26"/>
      <c r="AQ66" s="21"/>
    </row>
    <row r="67" spans="1:43" x14ac:dyDescent="0.35">
      <c r="O67" s="11" t="str">
        <f>IF(ROUNDDOWN((O66-E66)/E66*100,0)&gt;0,"+"&amp;ROUNDDOWN((O66-E66)/E66*100,0)&amp;"% /2025",ROUNDDOWN((O66-E66)/E66*100,0)&amp;"% /2025")</f>
        <v>-22% /2025</v>
      </c>
      <c r="AF67" s="17"/>
      <c r="AI67" s="17"/>
      <c r="AL67" s="17"/>
      <c r="AM67" s="17"/>
      <c r="AN67" s="17"/>
      <c r="AO67" s="17"/>
      <c r="AQ67" s="21"/>
    </row>
    <row r="68" spans="1:43" x14ac:dyDescent="0.35">
      <c r="A68" s="30" t="s">
        <v>112</v>
      </c>
      <c r="B68" s="30" t="s">
        <v>113</v>
      </c>
      <c r="C68" s="31">
        <f>C9+C18+C49+C66</f>
        <v>1548902</v>
      </c>
      <c r="D68" s="31">
        <f>D9+D18+D49+D66</f>
        <v>1769719.13</v>
      </c>
      <c r="E68" s="31">
        <f>E9+E18+E49+E66</f>
        <v>1781719</v>
      </c>
      <c r="F68" s="31">
        <f>F9+F18+F49+F66</f>
        <v>2209906.44</v>
      </c>
      <c r="G68" s="31">
        <f>G66+G49+G41+G29+G18+G9</f>
        <v>1925561</v>
      </c>
      <c r="H68" s="31">
        <f>H66+H49+H41+H29+H18+H9</f>
        <v>2230718</v>
      </c>
      <c r="I68" s="31"/>
      <c r="J68" s="31"/>
      <c r="K68" s="31"/>
      <c r="L68" s="31">
        <f>L9+L18+L49+L66</f>
        <v>12.437886499999999</v>
      </c>
      <c r="M68" s="40"/>
      <c r="N68" s="31">
        <f>N66+N49+N41+N29+N18+N9</f>
        <v>2088466.472370619</v>
      </c>
      <c r="O68" s="31">
        <f>O66+O49+O41+O29+O18+O9</f>
        <v>1878795.8323493402</v>
      </c>
      <c r="P68" s="31">
        <f>P66+P49+P41+P29+P18+P9</f>
        <v>-740</v>
      </c>
      <c r="Q68" s="31">
        <f>Q66+Q49+Q41+Q29+Q18+Q9</f>
        <v>1878055.8323493402</v>
      </c>
      <c r="R68" s="31">
        <f>R66+R49+R41+R29+R18+R9</f>
        <v>4541224.855298195</v>
      </c>
      <c r="S68" s="32">
        <f>IF(E68&gt;0,(F68-E68)/E68,"")</f>
        <v>0.24032265469470773</v>
      </c>
      <c r="T68" s="32"/>
      <c r="U68" s="33">
        <f>U66+U49+U41++U29+U18+U9</f>
        <v>850419</v>
      </c>
      <c r="V68" s="33">
        <f>V66+V49+V41++V29+V18+V9</f>
        <v>857986</v>
      </c>
      <c r="W68" s="33"/>
      <c r="X68" s="33">
        <f>X66+X49+X41++X29+X18+X9</f>
        <v>1760112</v>
      </c>
      <c r="Y68" s="33">
        <f>Y66+Y49+Y41++Y29+Y18+Y9</f>
        <v>1734444</v>
      </c>
      <c r="Z68" s="32">
        <f>IF(U68&gt;0,(V68-U68)/U68,"")</f>
        <v>8.8979667669701647E-3</v>
      </c>
      <c r="AA68" s="31" t="e">
        <f>AA66+AA49+AA41+AA29+AA18+AA9</f>
        <v>#REF!</v>
      </c>
      <c r="AB68" s="31">
        <f>AB66+AB49+AB41+AB29+AB18+AB9</f>
        <v>11228303.606448397</v>
      </c>
      <c r="AD68" s="31">
        <f>AD9+AD18+AD49+AD66</f>
        <v>5440407</v>
      </c>
      <c r="AE68" s="31">
        <f>AE9+AE18+AE49+AE66</f>
        <v>5713658</v>
      </c>
      <c r="AF68" s="32">
        <f>(AE68-AD68)/AD68</f>
        <v>5.0226205502639787E-2</v>
      </c>
      <c r="AG68" s="31">
        <f>AG9+AG18+AG49+AG66</f>
        <v>5461888</v>
      </c>
      <c r="AH68" s="31">
        <f>AH9+AH18+AH49+AH66</f>
        <v>5619170</v>
      </c>
      <c r="AI68" s="32">
        <f>(AH68-AG68)/AG68</f>
        <v>2.8796269714794591E-2</v>
      </c>
      <c r="AJ68" s="31">
        <f>AJ9+AJ18+AJ49+AJ66</f>
        <v>4311576</v>
      </c>
      <c r="AK68" s="31">
        <f>AK9+AK18+AK49+AK66</f>
        <v>4430375</v>
      </c>
      <c r="AL68" s="32">
        <f>(AK68-AJ68)/AJ68</f>
        <v>2.7553497839305163E-2</v>
      </c>
      <c r="AM68" s="20">
        <f>AG68-E68</f>
        <v>3680169</v>
      </c>
      <c r="AN68" s="20">
        <f>AH68-F68</f>
        <v>3409263.56</v>
      </c>
      <c r="AO68" s="32">
        <f>(AN68-AM68)/AM68</f>
        <v>-7.3612228134088395E-2</v>
      </c>
      <c r="AP68" s="21">
        <f>AVERAGE(AP3:AP67)</f>
        <v>107.93488843855461</v>
      </c>
      <c r="AQ68" s="21">
        <f>AVERAGE(AQ3:AQ67)</f>
        <v>134.88263283766602</v>
      </c>
    </row>
    <row r="69" spans="1:43" x14ac:dyDescent="0.35">
      <c r="B69" s="8" t="s">
        <v>114</v>
      </c>
      <c r="C69" s="15">
        <v>1942512</v>
      </c>
      <c r="D69" s="15">
        <v>2212395</v>
      </c>
      <c r="E69" s="15">
        <v>2032474</v>
      </c>
      <c r="F69" s="15">
        <v>2103624</v>
      </c>
      <c r="G69" s="15">
        <f>G68-E68</f>
        <v>143842</v>
      </c>
      <c r="H69" s="15">
        <f>H68-E68</f>
        <v>448999</v>
      </c>
      <c r="N69" s="15">
        <f>N68-E68</f>
        <v>306747.47237061895</v>
      </c>
      <c r="O69" s="15">
        <f>O68-E68</f>
        <v>97076.832349340199</v>
      </c>
      <c r="Q69" s="15">
        <f>Q68-E68</f>
        <v>96336.832349340199</v>
      </c>
    </row>
    <row r="70" spans="1:43" x14ac:dyDescent="0.35">
      <c r="O70" s="15">
        <v>25000</v>
      </c>
    </row>
    <row r="71" spans="1:43" x14ac:dyDescent="0.35">
      <c r="N71" s="8">
        <v>1</v>
      </c>
      <c r="O71" s="8">
        <v>2</v>
      </c>
      <c r="P71" s="15" t="s">
        <v>115</v>
      </c>
      <c r="Q71" s="15" t="s">
        <v>116</v>
      </c>
      <c r="R71" s="15" t="s">
        <v>117</v>
      </c>
    </row>
    <row r="72" spans="1:43" x14ac:dyDescent="0.35">
      <c r="B72" s="8">
        <v>4</v>
      </c>
      <c r="G72" s="15" t="s">
        <v>132</v>
      </c>
      <c r="N72" s="8">
        <f>22*8*36</f>
        <v>6336</v>
      </c>
      <c r="O72" s="8">
        <f>N72*2</f>
        <v>12672</v>
      </c>
      <c r="P72" s="15">
        <v>24</v>
      </c>
      <c r="Q72" s="27">
        <f>O72/(24*36*8)</f>
        <v>1.8333333333333333</v>
      </c>
      <c r="R72" s="15">
        <f>O72/3</f>
        <v>4224</v>
      </c>
    </row>
    <row r="73" spans="1:43" x14ac:dyDescent="0.35">
      <c r="G73" s="15" t="s">
        <v>133</v>
      </c>
      <c r="N73" s="8">
        <f>22*50*13</f>
        <v>14300</v>
      </c>
      <c r="O73" s="8">
        <f>22*50*13*2</f>
        <v>28600</v>
      </c>
      <c r="P73" s="15">
        <v>20</v>
      </c>
      <c r="Q73" s="27">
        <f>O73/(24*13*50)</f>
        <v>1.8333333333333333</v>
      </c>
      <c r="R73" s="27">
        <f>O73/3</f>
        <v>9533.3333333333339</v>
      </c>
    </row>
    <row r="74" spans="1:43" x14ac:dyDescent="0.35">
      <c r="G74" s="15" t="s">
        <v>134</v>
      </c>
      <c r="N74" s="8">
        <f>80*5*13</f>
        <v>5200</v>
      </c>
      <c r="O74" s="8"/>
      <c r="P74" s="15">
        <v>10</v>
      </c>
      <c r="Q74" s="27">
        <f>N74/(P74*13*50)</f>
        <v>0.8</v>
      </c>
      <c r="V74" s="18">
        <v>53500</v>
      </c>
    </row>
    <row r="75" spans="1:43" x14ac:dyDescent="0.35">
      <c r="G75" s="15" t="s">
        <v>135</v>
      </c>
      <c r="N75" s="8">
        <f>22*50*47</f>
        <v>51700</v>
      </c>
      <c r="O75" s="8">
        <f>N75*2</f>
        <v>103400</v>
      </c>
      <c r="R75" s="15">
        <f>O75/3</f>
        <v>34466.666666666664</v>
      </c>
    </row>
    <row r="76" spans="1:43" x14ac:dyDescent="0.35">
      <c r="G76" s="15" t="s">
        <v>136</v>
      </c>
      <c r="N76" s="15">
        <f>22*10*36</f>
        <v>7920</v>
      </c>
      <c r="O76" s="15">
        <f>N76*2</f>
        <v>15840</v>
      </c>
      <c r="R76" s="15">
        <f>O76/3</f>
        <v>5280</v>
      </c>
    </row>
    <row r="77" spans="1:43" x14ac:dyDescent="0.35">
      <c r="G77" s="15" t="s">
        <v>137</v>
      </c>
    </row>
    <row r="78" spans="1:43" x14ac:dyDescent="0.35">
      <c r="D78" s="8">
        <v>2022</v>
      </c>
      <c r="E78" s="8">
        <v>2023</v>
      </c>
      <c r="F78" s="8">
        <v>2024</v>
      </c>
      <c r="G78" s="8">
        <v>2025</v>
      </c>
      <c r="H78" s="8">
        <v>2026</v>
      </c>
    </row>
    <row r="79" spans="1:43" x14ac:dyDescent="0.35">
      <c r="C79" s="15" t="s">
        <v>138</v>
      </c>
      <c r="D79" s="15">
        <f>1585696-92000</f>
        <v>1493696</v>
      </c>
      <c r="E79" s="15">
        <v>1942512</v>
      </c>
      <c r="F79" s="15">
        <v>2212395</v>
      </c>
      <c r="G79" s="15">
        <v>2032474</v>
      </c>
      <c r="H79" s="15">
        <v>2103624</v>
      </c>
    </row>
    <row r="80" spans="1:43" x14ac:dyDescent="0.35">
      <c r="C80" s="15" t="s">
        <v>139</v>
      </c>
      <c r="D80" s="15">
        <f>1295713-92000</f>
        <v>1203713</v>
      </c>
      <c r="E80" s="15">
        <v>1628820</v>
      </c>
      <c r="F80" s="15">
        <v>1773445</v>
      </c>
      <c r="G80" s="15">
        <v>1777696</v>
      </c>
      <c r="S80" s="19"/>
    </row>
    <row r="81" spans="3:7" x14ac:dyDescent="0.35">
      <c r="C81" s="15" t="s">
        <v>140</v>
      </c>
      <c r="E81" s="15">
        <v>1433894</v>
      </c>
      <c r="F81" s="15">
        <v>965052</v>
      </c>
      <c r="G81" s="15">
        <v>888052</v>
      </c>
    </row>
  </sheetData>
  <conditionalFormatting sqref="O3:O65">
    <cfRule type="expression" dxfId="15" priority="3">
      <formula>O3&gt;=H3</formula>
    </cfRule>
    <cfRule type="expression" dxfId="14" priority="4">
      <formula>O3&lt;H3</formula>
    </cfRule>
  </conditionalFormatting>
  <conditionalFormatting sqref="O67">
    <cfRule type="expression" dxfId="13" priority="1">
      <formula>O67&gt;=H67</formula>
    </cfRule>
    <cfRule type="expression" dxfId="12" priority="2">
      <formula>O67&lt;H67</formula>
    </cfRule>
  </conditionalFormatting>
  <conditionalFormatting sqref="S3:T52 S53 S54:T68 AC3:AC68 AF3:AF68 AL3:AL68">
    <cfRule type="colorScale" priority="6">
      <colorScale>
        <cfvo type="num" val="-0.05"/>
        <cfvo type="num" val="0"/>
        <cfvo type="num" val="0.05"/>
        <color rgb="FF63BE7B"/>
        <color rgb="FFFCFCFF"/>
        <color rgb="FFF8696B"/>
      </colorScale>
    </cfRule>
  </conditionalFormatting>
  <conditionalFormatting sqref="Z2:Z68">
    <cfRule type="expression" dxfId="11" priority="7" stopIfTrue="1">
      <formula>AND(ISNUMBER($Z2), $Z2&gt;0)</formula>
    </cfRule>
    <cfRule type="expression" dxfId="10" priority="8" stopIfTrue="1">
      <formula>AND(ISNUMBER($Z2), $Z2&lt;0)</formula>
    </cfRule>
  </conditionalFormatting>
  <conditionalFormatting sqref="Z3:Z68 AI3:AI68 AO3:AO68">
    <cfRule type="colorScale" priority="5">
      <colorScale>
        <cfvo type="num" val="0.05"/>
        <cfvo type="percentile" val="50"/>
        <cfvo type="num" val="0.05"/>
        <color rgb="FFF8696B"/>
        <color rgb="FFFCFCFF"/>
        <color rgb="FF63BE7B"/>
      </colorScale>
    </cfRule>
  </conditionalFormatting>
  <conditionalFormatting sqref="AC2">
    <cfRule type="expression" dxfId="9" priority="9" stopIfTrue="1">
      <formula>AND(ISNUMBER($AC2), $AC2&gt;0)</formula>
    </cfRule>
    <cfRule type="expression" dxfId="8" priority="10" stopIfTrue="1">
      <formula>AND(ISNUMBER($AC2), $AC2&lt;0)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85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1" sqref="F11"/>
    </sheetView>
  </sheetViews>
  <sheetFormatPr baseColWidth="10" defaultColWidth="11.44140625" defaultRowHeight="15" x14ac:dyDescent="0.35"/>
  <cols>
    <col min="1" max="1" width="35.6640625" style="8" customWidth="1"/>
    <col min="2" max="2" width="44.88671875" style="8" bestFit="1" customWidth="1"/>
    <col min="3" max="3" width="10.88671875" style="15" customWidth="1"/>
    <col min="4" max="5" width="10" style="8" customWidth="1"/>
    <col min="6" max="6" width="11.5546875" style="8" bestFit="1" customWidth="1"/>
    <col min="7" max="7" width="11.5546875" style="37" customWidth="1"/>
    <col min="8" max="14" width="11.5546875" style="8" customWidth="1"/>
    <col min="15" max="15" width="11.5546875" style="37" customWidth="1"/>
    <col min="16" max="16" width="11.5546875" style="8" customWidth="1"/>
    <col min="17" max="17" width="11.109375" style="15" bestFit="1" customWidth="1"/>
    <col min="18" max="18" width="11.44140625" style="15" bestFit="1" customWidth="1"/>
    <col min="19" max="20" width="15.44140625" style="15" customWidth="1"/>
    <col min="21" max="21" width="11.109375" style="15" bestFit="1" customWidth="1"/>
    <col min="22" max="22" width="11.88671875" style="15" bestFit="1" customWidth="1"/>
    <col min="23" max="23" width="14.109375" style="17" hidden="1" customWidth="1"/>
    <col min="24" max="24" width="11.6640625" style="17" hidden="1" customWidth="1"/>
    <col min="25" max="25" width="9.88671875" style="18" hidden="1" customWidth="1"/>
    <col min="26" max="26" width="11.6640625" style="18" hidden="1" customWidth="1"/>
    <col min="27" max="27" width="9.6640625" style="18" hidden="1" customWidth="1"/>
    <col min="28" max="29" width="11" style="18" hidden="1" customWidth="1"/>
    <col min="30" max="30" width="10.44140625" style="17" hidden="1" customWidth="1"/>
    <col min="31" max="31" width="11.88671875" style="15" hidden="1" customWidth="1"/>
    <col min="32" max="32" width="11.109375" style="15" hidden="1" customWidth="1"/>
    <col min="33" max="33" width="9.44140625" style="17" hidden="1" customWidth="1"/>
    <col min="34" max="35" width="11" style="15" hidden="1" customWidth="1"/>
    <col min="36" max="36" width="10.109375" style="15" hidden="1" customWidth="1"/>
    <col min="37" max="38" width="11" style="15" hidden="1" customWidth="1"/>
    <col min="39" max="39" width="10.109375" style="15" hidden="1" customWidth="1"/>
    <col min="40" max="41" width="11" style="15" hidden="1" customWidth="1"/>
    <col min="42" max="42" width="10.6640625" style="15" hidden="1" customWidth="1"/>
    <col min="43" max="44" width="14.88671875" style="15" hidden="1" customWidth="1"/>
    <col min="45" max="45" width="10.6640625" style="15" hidden="1" customWidth="1"/>
    <col min="46" max="46" width="11" style="21" hidden="1" customWidth="1"/>
    <col min="47" max="47" width="0" style="8" hidden="1"/>
    <col min="48" max="48" width="11.44140625" style="8" customWidth="1"/>
    <col min="49" max="16384" width="11.44140625" style="8"/>
  </cols>
  <sheetData>
    <row r="1" spans="1:47" ht="90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4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5" t="s">
        <v>29</v>
      </c>
      <c r="AE1" s="2" t="s">
        <v>30</v>
      </c>
      <c r="AF1" s="2" t="s">
        <v>31</v>
      </c>
      <c r="AG1" s="5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7" t="s">
        <v>45</v>
      </c>
      <c r="AU1" s="7" t="s">
        <v>46</v>
      </c>
    </row>
    <row r="2" spans="1:47" x14ac:dyDescent="0.35">
      <c r="A2" s="9" t="s">
        <v>47</v>
      </c>
      <c r="B2" s="10"/>
      <c r="C2" s="11"/>
      <c r="D2" s="10"/>
      <c r="E2" s="10"/>
      <c r="F2" s="10"/>
      <c r="G2" s="35"/>
      <c r="H2" s="10"/>
      <c r="I2" s="10"/>
      <c r="J2" s="10"/>
      <c r="K2" s="10"/>
      <c r="L2" s="10"/>
      <c r="M2" s="10"/>
      <c r="N2" s="10"/>
      <c r="O2" s="35"/>
      <c r="P2" s="10"/>
      <c r="Q2" s="11"/>
      <c r="R2" s="11"/>
      <c r="S2" s="11"/>
      <c r="T2" s="11"/>
      <c r="U2" s="11"/>
      <c r="V2" s="11"/>
      <c r="W2" s="12"/>
      <c r="X2" s="12"/>
      <c r="Y2" s="13"/>
      <c r="Z2" s="13"/>
      <c r="AA2" s="13"/>
      <c r="AB2" s="13"/>
      <c r="AC2" s="13"/>
      <c r="AD2" s="12"/>
      <c r="AE2" s="11"/>
      <c r="AF2" s="11"/>
      <c r="AG2" s="12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4"/>
    </row>
    <row r="3" spans="1:47" x14ac:dyDescent="0.35">
      <c r="A3" s="8" t="s">
        <v>48</v>
      </c>
      <c r="B3" s="36" t="s">
        <v>49</v>
      </c>
      <c r="C3" s="15">
        <v>93300</v>
      </c>
      <c r="D3" s="8">
        <v>2.4</v>
      </c>
      <c r="E3" s="8">
        <v>2.7</v>
      </c>
      <c r="F3" s="16">
        <v>2.536435</v>
      </c>
      <c r="G3" s="37">
        <f t="shared" ref="G3:G8" si="0">(H3*I3*(J3+K3+L3+M3)*N3*O3)/(P3+1)</f>
        <v>34466.666666666664</v>
      </c>
      <c r="H3" s="8">
        <v>2</v>
      </c>
      <c r="I3" s="8">
        <v>10</v>
      </c>
      <c r="M3" s="8">
        <v>5</v>
      </c>
      <c r="N3" s="8">
        <v>47</v>
      </c>
      <c r="O3" s="37">
        <v>22</v>
      </c>
      <c r="P3" s="8">
        <v>2</v>
      </c>
      <c r="Q3" s="15">
        <f>IF(Z3&gt;0,G3+Z3*MAX(3,3.5-(Z3*((3.5-3)/56000))),0)</f>
        <v>139407.3419434524</v>
      </c>
      <c r="R3" s="15">
        <f t="shared" ref="R3:R8" si="1">IF(Q3&gt;C3,C3,Q3)</f>
        <v>93300</v>
      </c>
      <c r="U3" s="15">
        <f t="shared" ref="U3:U8" si="2">R3+S3</f>
        <v>93300</v>
      </c>
      <c r="V3" s="15">
        <f t="shared" ref="V3:V8" si="3">SUMIF(B:B,B3,U:U)</f>
        <v>93300</v>
      </c>
      <c r="W3" s="17">
        <v>0.12</v>
      </c>
      <c r="Y3" s="18">
        <v>34440</v>
      </c>
      <c r="Z3" s="18">
        <v>32713</v>
      </c>
      <c r="AA3" s="19">
        <f t="shared" ref="AA3:AA8" si="4">Z3/55/48/6</f>
        <v>2.0652146464646464</v>
      </c>
      <c r="AB3" s="18">
        <f t="shared" ref="AB3:AC8" si="5">Y3</f>
        <v>34440</v>
      </c>
      <c r="AC3" s="18">
        <f t="shared" si="5"/>
        <v>32713</v>
      </c>
      <c r="AD3" s="17">
        <f t="shared" ref="AD3:AD8" si="6">IF(AND(ISNUMBER(Y3), Y3&gt;0), (Z3-Y3)/Y3, "")</f>
        <v>-5.0145180023228805E-2</v>
      </c>
      <c r="AE3" s="15">
        <v>37661</v>
      </c>
      <c r="AF3" s="15">
        <f t="shared" ref="AF3:AF8" si="7">SUMIF(A:A,A3,U:U)</f>
        <v>174647.74853224255</v>
      </c>
      <c r="AG3" s="17">
        <v>6.0199999999999997E-2</v>
      </c>
      <c r="AH3" s="15">
        <v>416006</v>
      </c>
      <c r="AI3" s="15">
        <v>426800</v>
      </c>
      <c r="AJ3" s="17">
        <f t="shared" ref="AJ3:AJ9" si="8">(AI3-AH3)/AH3</f>
        <v>2.5946741152771836E-2</v>
      </c>
      <c r="AK3" s="15">
        <v>453667</v>
      </c>
      <c r="AL3" s="15">
        <v>394500</v>
      </c>
      <c r="AM3" s="17">
        <f t="shared" ref="AM3:AM9" si="9">(AL3-AK3)/AK3</f>
        <v>-0.13041944862641541</v>
      </c>
      <c r="AN3" s="15">
        <v>339102</v>
      </c>
      <c r="AO3" s="15">
        <v>344100</v>
      </c>
      <c r="AP3" s="17">
        <f t="shared" ref="AP3:AP9" si="10">(AO3-AN3)/AN3</f>
        <v>1.4738928110126157E-2</v>
      </c>
      <c r="AQ3" s="20" t="e">
        <f>AK3-#REF!</f>
        <v>#REF!</v>
      </c>
      <c r="AR3" s="20" t="e">
        <f>AL3-#REF!</f>
        <v>#REF!</v>
      </c>
      <c r="AS3" s="17" t="e">
        <f t="shared" ref="AS3:AS9" si="11">(AR3-AQ3)/AQ3</f>
        <v>#REF!</v>
      </c>
      <c r="AT3" s="21">
        <v>109</v>
      </c>
      <c r="AU3" s="21">
        <v>195</v>
      </c>
    </row>
    <row r="4" spans="1:47" x14ac:dyDescent="0.35">
      <c r="A4" s="8" t="s">
        <v>50</v>
      </c>
      <c r="B4" s="36" t="s">
        <v>51</v>
      </c>
      <c r="C4" s="15">
        <v>93000</v>
      </c>
      <c r="D4" s="8">
        <v>2.4</v>
      </c>
      <c r="E4" s="8">
        <v>2.7</v>
      </c>
      <c r="F4" s="16">
        <v>2.6156000000000001</v>
      </c>
      <c r="G4" s="37">
        <f t="shared" si="0"/>
        <v>34466.666666666664</v>
      </c>
      <c r="H4" s="8">
        <v>2</v>
      </c>
      <c r="I4" s="8">
        <v>10</v>
      </c>
      <c r="M4" s="8">
        <v>5</v>
      </c>
      <c r="N4" s="8">
        <v>47</v>
      </c>
      <c r="O4" s="37">
        <v>22</v>
      </c>
      <c r="P4" s="8">
        <v>2</v>
      </c>
      <c r="Q4" s="15">
        <f>IF(Z4&gt;0,G4+F4*Z4,0)</f>
        <v>78617.994666666666</v>
      </c>
      <c r="R4" s="15">
        <f t="shared" si="1"/>
        <v>78617.994666666666</v>
      </c>
      <c r="U4" s="15">
        <f t="shared" si="2"/>
        <v>78617.994666666666</v>
      </c>
      <c r="V4" s="15">
        <f t="shared" si="3"/>
        <v>78617.994666666666</v>
      </c>
      <c r="W4" s="17">
        <v>1.036</v>
      </c>
      <c r="Y4" s="18">
        <v>18559</v>
      </c>
      <c r="Z4" s="18">
        <v>16880</v>
      </c>
      <c r="AA4" s="19">
        <f t="shared" si="4"/>
        <v>1.0656565656565657</v>
      </c>
      <c r="AB4" s="18">
        <f t="shared" si="5"/>
        <v>18559</v>
      </c>
      <c r="AC4" s="18">
        <f t="shared" si="5"/>
        <v>16880</v>
      </c>
      <c r="AD4" s="17">
        <f t="shared" si="6"/>
        <v>-9.0468236435152755E-2</v>
      </c>
      <c r="AE4" s="15">
        <v>2721</v>
      </c>
      <c r="AF4" s="15">
        <f t="shared" si="7"/>
        <v>688483.76834133326</v>
      </c>
      <c r="AG4" s="17">
        <v>0.1951</v>
      </c>
      <c r="AH4" s="15">
        <v>247678</v>
      </c>
      <c r="AI4" s="15">
        <v>256200</v>
      </c>
      <c r="AJ4" s="17">
        <f t="shared" si="8"/>
        <v>3.4407577580568317E-2</v>
      </c>
      <c r="AK4" s="15">
        <v>209263</v>
      </c>
      <c r="AL4" s="15">
        <v>255600</v>
      </c>
      <c r="AM4" s="17">
        <f t="shared" si="9"/>
        <v>0.22142949303030157</v>
      </c>
      <c r="AN4" s="15">
        <v>209192</v>
      </c>
      <c r="AO4" s="15">
        <v>218900</v>
      </c>
      <c r="AP4" s="17">
        <f t="shared" si="10"/>
        <v>4.640712837967035E-2</v>
      </c>
      <c r="AQ4" s="20" t="e">
        <f>AK4-#REF!</f>
        <v>#REF!</v>
      </c>
      <c r="AR4" s="20" t="e">
        <f>AL4-#REF!</f>
        <v>#REF!</v>
      </c>
      <c r="AS4" s="17" t="e">
        <f t="shared" si="11"/>
        <v>#REF!</v>
      </c>
      <c r="AT4" s="21">
        <v>35</v>
      </c>
      <c r="AU4" s="21">
        <v>297</v>
      </c>
    </row>
    <row r="5" spans="1:47" x14ac:dyDescent="0.35">
      <c r="A5" s="8" t="s">
        <v>50</v>
      </c>
      <c r="B5" s="36" t="s">
        <v>52</v>
      </c>
      <c r="C5" s="15">
        <v>177500</v>
      </c>
      <c r="D5" s="8">
        <v>2.4</v>
      </c>
      <c r="E5" s="8">
        <v>2.7</v>
      </c>
      <c r="F5" s="16">
        <v>2.4189099999999999</v>
      </c>
      <c r="G5" s="37">
        <f t="shared" si="0"/>
        <v>34466.666666666664</v>
      </c>
      <c r="H5" s="8">
        <v>2</v>
      </c>
      <c r="I5" s="8">
        <v>10</v>
      </c>
      <c r="M5" s="8">
        <v>5</v>
      </c>
      <c r="N5" s="8">
        <v>47</v>
      </c>
      <c r="O5" s="37">
        <v>22</v>
      </c>
      <c r="P5" s="8">
        <v>2</v>
      </c>
      <c r="Q5" s="15">
        <f>IF(Z5&gt;0,G5+F5*Z5,0)</f>
        <v>170452.94904666665</v>
      </c>
      <c r="R5" s="15">
        <f t="shared" si="1"/>
        <v>170452.94904666665</v>
      </c>
      <c r="U5" s="15">
        <f t="shared" si="2"/>
        <v>170452.94904666665</v>
      </c>
      <c r="V5" s="15">
        <f t="shared" si="3"/>
        <v>170452.94904666665</v>
      </c>
      <c r="W5" s="17">
        <v>3.4700000000000002E-2</v>
      </c>
      <c r="Y5" s="18">
        <v>57182</v>
      </c>
      <c r="Z5" s="18">
        <v>56218</v>
      </c>
      <c r="AA5" s="19">
        <f t="shared" si="4"/>
        <v>3.5491161616161615</v>
      </c>
      <c r="AB5" s="18">
        <f t="shared" si="5"/>
        <v>57182</v>
      </c>
      <c r="AC5" s="18">
        <f t="shared" si="5"/>
        <v>56218</v>
      </c>
      <c r="AD5" s="17">
        <f t="shared" si="6"/>
        <v>-1.6858451960407122E-2</v>
      </c>
      <c r="AE5" s="15">
        <v>-7800</v>
      </c>
      <c r="AF5" s="15">
        <f t="shared" si="7"/>
        <v>688483.76834133326</v>
      </c>
      <c r="AG5" s="17">
        <v>0.1951</v>
      </c>
      <c r="AH5" s="15">
        <v>696478</v>
      </c>
      <c r="AI5" s="15">
        <v>700400</v>
      </c>
      <c r="AJ5" s="17">
        <f t="shared" si="8"/>
        <v>5.6311900734840152E-3</v>
      </c>
      <c r="AK5" s="15">
        <v>688640</v>
      </c>
      <c r="AL5" s="15">
        <v>685100</v>
      </c>
      <c r="AM5" s="17">
        <f t="shared" si="9"/>
        <v>-5.1405669144981413E-3</v>
      </c>
      <c r="AN5" s="15">
        <v>611487</v>
      </c>
      <c r="AO5" s="15">
        <v>601400</v>
      </c>
      <c r="AP5" s="17">
        <f t="shared" si="10"/>
        <v>-1.6495853550443428E-2</v>
      </c>
      <c r="AQ5" s="20" t="e">
        <f>AK5-#REF!</f>
        <v>#REF!</v>
      </c>
      <c r="AR5" s="20" t="e">
        <f>AL5-#REF!</f>
        <v>#REF!</v>
      </c>
      <c r="AS5" s="17" t="e">
        <f t="shared" si="11"/>
        <v>#REF!</v>
      </c>
      <c r="AT5" s="21">
        <v>48</v>
      </c>
      <c r="AU5" s="21">
        <v>116</v>
      </c>
    </row>
    <row r="6" spans="1:47" x14ac:dyDescent="0.35">
      <c r="A6" s="8" t="s">
        <v>53</v>
      </c>
      <c r="B6" s="36" t="s">
        <v>54</v>
      </c>
      <c r="C6" s="15">
        <v>147200</v>
      </c>
      <c r="D6" s="8">
        <v>2.4</v>
      </c>
      <c r="E6" s="8">
        <v>2.7</v>
      </c>
      <c r="F6" s="16">
        <v>2.5662199999999999</v>
      </c>
      <c r="G6" s="37">
        <f t="shared" si="0"/>
        <v>34466.666666666664</v>
      </c>
      <c r="H6" s="8">
        <v>2</v>
      </c>
      <c r="I6" s="8">
        <v>10</v>
      </c>
      <c r="M6" s="8">
        <v>5</v>
      </c>
      <c r="N6" s="8">
        <v>47</v>
      </c>
      <c r="O6" s="37">
        <v>22</v>
      </c>
      <c r="P6" s="8">
        <v>2</v>
      </c>
      <c r="Q6" s="15">
        <f>IF(Z6&gt;0,G6+F6*Z6,0)</f>
        <v>103128.44898666666</v>
      </c>
      <c r="R6" s="15">
        <f t="shared" si="1"/>
        <v>103128.44898666666</v>
      </c>
      <c r="U6" s="15">
        <f t="shared" si="2"/>
        <v>103128.44898666666</v>
      </c>
      <c r="V6" s="15">
        <f t="shared" si="3"/>
        <v>103128.44898666666</v>
      </c>
      <c r="W6" s="17">
        <v>0.58279999999999998</v>
      </c>
      <c r="Y6" s="18">
        <v>28300</v>
      </c>
      <c r="Z6" s="18">
        <v>26756</v>
      </c>
      <c r="AA6" s="19">
        <f t="shared" si="4"/>
        <v>1.6891414141414141</v>
      </c>
      <c r="AB6" s="18">
        <f t="shared" si="5"/>
        <v>28300</v>
      </c>
      <c r="AC6" s="18">
        <f t="shared" si="5"/>
        <v>26756</v>
      </c>
      <c r="AD6" s="17">
        <f t="shared" si="6"/>
        <v>-5.4558303886925792E-2</v>
      </c>
      <c r="AE6" s="15">
        <v>-2238</v>
      </c>
      <c r="AF6" s="15">
        <f t="shared" si="7"/>
        <v>163635.56864866667</v>
      </c>
      <c r="AG6" s="17">
        <v>0.4516</v>
      </c>
      <c r="AH6" s="15">
        <v>361219</v>
      </c>
      <c r="AI6" s="15">
        <v>405400</v>
      </c>
      <c r="AJ6" s="17">
        <f t="shared" si="8"/>
        <v>0.12231084189923565</v>
      </c>
      <c r="AK6" s="15">
        <v>358981</v>
      </c>
      <c r="AL6" s="15">
        <v>405400</v>
      </c>
      <c r="AM6" s="17">
        <f t="shared" si="9"/>
        <v>0.12930767923650555</v>
      </c>
      <c r="AN6" s="15">
        <v>308426</v>
      </c>
      <c r="AO6" s="15">
        <v>283900</v>
      </c>
      <c r="AP6" s="17">
        <f t="shared" si="10"/>
        <v>-7.9519884834611865E-2</v>
      </c>
      <c r="AQ6" s="20" t="e">
        <f>AK6-#REF!</f>
        <v>#REF!</v>
      </c>
      <c r="AR6" s="20" t="e">
        <f>AL6-#REF!</f>
        <v>#REF!</v>
      </c>
      <c r="AS6" s="17" t="e">
        <f t="shared" si="11"/>
        <v>#REF!</v>
      </c>
      <c r="AT6" s="21">
        <v>123</v>
      </c>
      <c r="AU6" s="21">
        <v>123</v>
      </c>
    </row>
    <row r="7" spans="1:47" x14ac:dyDescent="0.35">
      <c r="A7" s="8" t="s">
        <v>55</v>
      </c>
      <c r="B7" s="36" t="s">
        <v>56</v>
      </c>
      <c r="C7" s="15">
        <v>170000</v>
      </c>
      <c r="D7" s="8">
        <v>2.4</v>
      </c>
      <c r="E7" s="8">
        <v>2.7</v>
      </c>
      <c r="F7" s="16">
        <v>2.44455</v>
      </c>
      <c r="G7" s="37">
        <f t="shared" si="0"/>
        <v>34466.666666666664</v>
      </c>
      <c r="H7" s="8">
        <v>2</v>
      </c>
      <c r="I7" s="8">
        <v>10</v>
      </c>
      <c r="M7" s="8">
        <v>5</v>
      </c>
      <c r="N7" s="8">
        <v>47</v>
      </c>
      <c r="O7" s="37">
        <v>22</v>
      </c>
      <c r="P7" s="8">
        <v>2</v>
      </c>
      <c r="Q7" s="15">
        <f>IF(Z7&gt;0,G7+F7*Z7,0)</f>
        <v>159358.72616666666</v>
      </c>
      <c r="R7" s="15">
        <f t="shared" si="1"/>
        <v>159358.72616666666</v>
      </c>
      <c r="S7" s="15">
        <v>5641</v>
      </c>
      <c r="T7" s="15" t="s">
        <v>57</v>
      </c>
      <c r="U7" s="15">
        <f t="shared" si="2"/>
        <v>164999.72616666666</v>
      </c>
      <c r="V7" s="15">
        <f t="shared" si="3"/>
        <v>164999.72616666666</v>
      </c>
      <c r="W7" s="17">
        <v>1.4E-3</v>
      </c>
      <c r="Y7" s="18">
        <v>53256</v>
      </c>
      <c r="Z7" s="18">
        <v>51090</v>
      </c>
      <c r="AA7" s="19">
        <f t="shared" si="4"/>
        <v>3.2253787878787876</v>
      </c>
      <c r="AB7" s="18">
        <f t="shared" si="5"/>
        <v>53256</v>
      </c>
      <c r="AC7" s="18">
        <f t="shared" si="5"/>
        <v>51090</v>
      </c>
      <c r="AD7" s="17">
        <f t="shared" si="6"/>
        <v>-4.0671473636773321E-2</v>
      </c>
      <c r="AE7" s="15">
        <v>-3095</v>
      </c>
      <c r="AF7" s="15">
        <f t="shared" si="7"/>
        <v>344898.9793152645</v>
      </c>
      <c r="AG7" s="17">
        <v>4.8000000000000001E-2</v>
      </c>
      <c r="AH7" s="15">
        <v>659587</v>
      </c>
      <c r="AI7" s="15">
        <v>639700</v>
      </c>
      <c r="AJ7" s="17">
        <f t="shared" si="8"/>
        <v>-3.0150685201497301E-2</v>
      </c>
      <c r="AK7" s="15">
        <v>656494</v>
      </c>
      <c r="AL7" s="15">
        <v>639700</v>
      </c>
      <c r="AM7" s="17">
        <f t="shared" si="9"/>
        <v>-2.5581345754873617E-2</v>
      </c>
      <c r="AN7" s="15">
        <v>572498</v>
      </c>
      <c r="AO7" s="15">
        <v>551100</v>
      </c>
      <c r="AP7" s="17">
        <f t="shared" si="10"/>
        <v>-3.7376549787073492E-2</v>
      </c>
      <c r="AQ7" s="20" t="e">
        <f>AK7-#REF!</f>
        <v>#REF!</v>
      </c>
      <c r="AR7" s="20" t="e">
        <f>AL7-#REF!</f>
        <v>#REF!</v>
      </c>
      <c r="AS7" s="17" t="e">
        <f t="shared" si="11"/>
        <v>#REF!</v>
      </c>
      <c r="AT7" s="21">
        <v>2</v>
      </c>
      <c r="AU7" s="21">
        <v>74</v>
      </c>
    </row>
    <row r="8" spans="1:47" x14ac:dyDescent="0.35">
      <c r="A8" s="8" t="s">
        <v>58</v>
      </c>
      <c r="B8" s="36" t="s">
        <v>59</v>
      </c>
      <c r="C8" s="15">
        <v>55767</v>
      </c>
      <c r="D8" s="8">
        <v>1</v>
      </c>
      <c r="E8" s="8">
        <v>2</v>
      </c>
      <c r="F8" s="16">
        <v>1.6295166666666669</v>
      </c>
      <c r="G8" s="37">
        <f t="shared" si="0"/>
        <v>34466.666666666664</v>
      </c>
      <c r="H8" s="8">
        <v>2</v>
      </c>
      <c r="I8" s="8">
        <v>10</v>
      </c>
      <c r="M8" s="8">
        <v>5</v>
      </c>
      <c r="N8" s="8">
        <v>47</v>
      </c>
      <c r="O8" s="37">
        <v>22</v>
      </c>
      <c r="P8" s="8">
        <v>2</v>
      </c>
      <c r="Q8" s="15">
        <f>IF(Z8&gt;0,G8+F8*Z8,0)</f>
        <v>70689.192650000012</v>
      </c>
      <c r="R8" s="15">
        <f t="shared" si="1"/>
        <v>55767</v>
      </c>
      <c r="U8" s="15">
        <f t="shared" si="2"/>
        <v>55767</v>
      </c>
      <c r="V8" s="15">
        <f t="shared" si="3"/>
        <v>151181.255489</v>
      </c>
      <c r="W8" s="17">
        <v>0.55649999999999999</v>
      </c>
      <c r="Y8" s="18">
        <v>19244</v>
      </c>
      <c r="Z8" s="18">
        <v>22229</v>
      </c>
      <c r="AA8" s="19">
        <f t="shared" si="4"/>
        <v>1.4033459595959596</v>
      </c>
      <c r="AB8" s="18">
        <f t="shared" si="5"/>
        <v>19244</v>
      </c>
      <c r="AC8" s="18">
        <f t="shared" si="5"/>
        <v>22229</v>
      </c>
      <c r="AD8" s="17">
        <f t="shared" si="6"/>
        <v>0.15511328206194139</v>
      </c>
      <c r="AE8" s="15">
        <f>AE13</f>
        <v>-18107</v>
      </c>
      <c r="AF8" s="15">
        <f t="shared" si="7"/>
        <v>151181.255489</v>
      </c>
      <c r="AG8" s="17">
        <v>0.2833</v>
      </c>
      <c r="AH8" s="15">
        <v>246091</v>
      </c>
      <c r="AI8" s="15">
        <v>254437</v>
      </c>
      <c r="AJ8" s="17">
        <f t="shared" si="8"/>
        <v>3.3914283740567513E-2</v>
      </c>
      <c r="AK8" s="15">
        <v>234764</v>
      </c>
      <c r="AL8" s="15">
        <v>254437</v>
      </c>
      <c r="AM8" s="17">
        <f t="shared" si="9"/>
        <v>8.3799049257978223E-2</v>
      </c>
      <c r="AN8" s="15">
        <v>210689</v>
      </c>
      <c r="AO8" s="15">
        <v>218447</v>
      </c>
      <c r="AP8" s="17">
        <f t="shared" si="10"/>
        <v>3.6822045764135766E-2</v>
      </c>
      <c r="AQ8" s="20" t="e">
        <f>AK8-#REF!</f>
        <v>#REF!</v>
      </c>
      <c r="AR8" s="20" t="e">
        <f>AL8-#REF!</f>
        <v>#REF!</v>
      </c>
      <c r="AS8" s="17" t="e">
        <f t="shared" si="11"/>
        <v>#REF!</v>
      </c>
      <c r="AT8" s="21">
        <v>62</v>
      </c>
      <c r="AU8" s="21">
        <v>74</v>
      </c>
    </row>
    <row r="9" spans="1:47" x14ac:dyDescent="0.35">
      <c r="A9" s="22" t="s">
        <v>60</v>
      </c>
      <c r="B9" s="22" t="s">
        <v>47</v>
      </c>
      <c r="C9" s="23">
        <v>736767</v>
      </c>
      <c r="D9" s="23"/>
      <c r="E9" s="23"/>
      <c r="F9" s="23"/>
      <c r="G9" s="38"/>
      <c r="H9" s="22"/>
      <c r="I9" s="22"/>
      <c r="J9" s="22"/>
      <c r="K9" s="22"/>
      <c r="L9" s="22"/>
      <c r="M9" s="22"/>
      <c r="N9" s="22"/>
      <c r="O9" s="38"/>
      <c r="P9" s="22"/>
      <c r="Q9" s="23">
        <f>SUM(Q3:Q8)</f>
        <v>721654.65346011904</v>
      </c>
      <c r="R9" s="23">
        <f>SUM(R3:R8)</f>
        <v>660625.11886666669</v>
      </c>
      <c r="S9" s="23">
        <f>SUM(S3:S8)</f>
        <v>5641</v>
      </c>
      <c r="T9" s="23"/>
      <c r="U9" s="23">
        <f>SUM(U3:U8)</f>
        <v>666266.11886666669</v>
      </c>
      <c r="V9" s="23">
        <f>SUM(V3:V8)</f>
        <v>761680.37435566669</v>
      </c>
      <c r="W9" s="24" t="e">
        <f>IF(#REF!&gt;0,(#REF!-#REF!)/#REF!,"")</f>
        <v>#REF!</v>
      </c>
      <c r="X9" s="24"/>
      <c r="Y9" s="25">
        <f>SUM(Y3:Y8)</f>
        <v>210981</v>
      </c>
      <c r="Z9" s="25">
        <f>SUM(Z3:Z8)</f>
        <v>205886</v>
      </c>
      <c r="AA9" s="25"/>
      <c r="AB9" s="25">
        <f>SUM(AB3:AB8)</f>
        <v>210981</v>
      </c>
      <c r="AC9" s="25">
        <f>SUM(AC3:AC8)</f>
        <v>205886</v>
      </c>
      <c r="AD9" s="24">
        <f>IF(Y9&gt;0,(Z9-Y9)/Y9,"")</f>
        <v>-2.4149093994245929E-2</v>
      </c>
      <c r="AE9" s="23">
        <f>SUM(AE3:AE8)</f>
        <v>9142</v>
      </c>
      <c r="AF9" s="23">
        <f>SUM(AF3:AF8)</f>
        <v>2211331.0886678402</v>
      </c>
      <c r="AG9" s="17">
        <v>0.2833</v>
      </c>
      <c r="AH9" s="23">
        <f>SUM(AH3:AH8)</f>
        <v>2627059</v>
      </c>
      <c r="AI9" s="23">
        <f>SUM(AI3:AI8)</f>
        <v>2682937</v>
      </c>
      <c r="AJ9" s="24">
        <f t="shared" si="8"/>
        <v>2.1270173224126294E-2</v>
      </c>
      <c r="AK9" s="23">
        <f>SUM(AK3:AK8)</f>
        <v>2601809</v>
      </c>
      <c r="AL9" s="23">
        <f>SUM(AL3:AL8)</f>
        <v>2634737</v>
      </c>
      <c r="AM9" s="24">
        <f t="shared" si="9"/>
        <v>1.2655809861523272E-2</v>
      </c>
      <c r="AN9" s="23">
        <f>SUM(AN3:AN8)</f>
        <v>2251394</v>
      </c>
      <c r="AO9" s="23">
        <f>SUM(AO3:AO8)</f>
        <v>2217847</v>
      </c>
      <c r="AP9" s="24">
        <f t="shared" si="10"/>
        <v>-1.490054606168445E-2</v>
      </c>
      <c r="AQ9" s="20" t="e">
        <f>AK9-#REF!</f>
        <v>#REF!</v>
      </c>
      <c r="AR9" s="20" t="e">
        <f>AL9-#REF!</f>
        <v>#REF!</v>
      </c>
      <c r="AS9" s="24" t="e">
        <f t="shared" si="11"/>
        <v>#REF!</v>
      </c>
      <c r="AT9" s="26"/>
      <c r="AU9" s="21"/>
    </row>
    <row r="10" spans="1:47" x14ac:dyDescent="0.35">
      <c r="A10" s="9" t="s">
        <v>61</v>
      </c>
      <c r="B10" s="10"/>
      <c r="C10" s="11"/>
      <c r="D10" s="10"/>
      <c r="E10" s="10"/>
      <c r="F10" s="10"/>
      <c r="G10" s="35"/>
      <c r="H10" s="10"/>
      <c r="I10" s="10"/>
      <c r="J10" s="10"/>
      <c r="K10" s="10"/>
      <c r="L10" s="10"/>
      <c r="M10" s="10"/>
      <c r="N10" s="10"/>
      <c r="O10" s="35"/>
      <c r="P10" s="10"/>
      <c r="Q10" s="39"/>
      <c r="R10" s="39" t="e">
        <f>IF(ROUNDDOWN((R9-#REF!)/#REF!*100,0)&gt;0,"+"&amp;ROUNDDOWN((R9-#REF!)/#REF!*100,0)&amp;"% /2025",ROUNDDOWN((R9-#REF!)/#REF!*100,0)&amp;"% /2025")</f>
        <v>#REF!</v>
      </c>
      <c r="S10" s="39"/>
      <c r="T10" s="39"/>
      <c r="U10" s="11"/>
      <c r="V10" s="11"/>
      <c r="W10" s="12"/>
      <c r="X10" s="12"/>
      <c r="Y10" s="13"/>
      <c r="Z10" s="13"/>
      <c r="AA10" s="13"/>
      <c r="AB10" s="13"/>
      <c r="AC10" s="13"/>
      <c r="AD10" s="12"/>
      <c r="AE10" s="11"/>
      <c r="AF10" s="11"/>
      <c r="AG10" s="12"/>
      <c r="AH10" s="11"/>
      <c r="AI10" s="11"/>
      <c r="AJ10" s="12"/>
      <c r="AK10" s="11"/>
      <c r="AL10" s="11"/>
      <c r="AM10" s="12"/>
      <c r="AN10" s="11"/>
      <c r="AO10" s="11"/>
      <c r="AP10" s="12"/>
      <c r="AQ10" s="12"/>
      <c r="AR10" s="12"/>
      <c r="AS10" s="12"/>
      <c r="AT10" s="14"/>
      <c r="AU10" s="21"/>
    </row>
    <row r="11" spans="1:47" x14ac:dyDescent="0.35">
      <c r="A11" s="8" t="s">
        <v>62</v>
      </c>
      <c r="B11" s="36" t="s">
        <v>63</v>
      </c>
      <c r="C11" s="15">
        <v>26640.830947365761</v>
      </c>
      <c r="D11" s="8">
        <v>1.05</v>
      </c>
      <c r="E11" s="8">
        <v>2</v>
      </c>
      <c r="F11" s="16">
        <v>1.8926974999999999</v>
      </c>
      <c r="G11" s="37">
        <f t="shared" ref="G11:G17" si="12">(H11*I11*(J11+K11+L11+M11)*N11*O11)/(P11+1)</f>
        <v>4224</v>
      </c>
      <c r="H11" s="8">
        <v>2</v>
      </c>
      <c r="I11" s="8">
        <v>2</v>
      </c>
      <c r="L11" s="8">
        <v>4</v>
      </c>
      <c r="N11" s="8">
        <v>36</v>
      </c>
      <c r="O11" s="37">
        <v>22</v>
      </c>
      <c r="P11" s="8">
        <v>2</v>
      </c>
      <c r="Q11" s="15">
        <f t="shared" ref="Q11:Q17" si="13">IF(Z11&gt;0,G11+F11*Z11,0)</f>
        <v>25602.018262499998</v>
      </c>
      <c r="R11" s="15">
        <f t="shared" ref="R11:R17" si="14">IF(Q11&gt;C11,C11,Q11)</f>
        <v>25602.018262499998</v>
      </c>
      <c r="S11" s="27"/>
      <c r="T11" s="27"/>
      <c r="U11" s="15">
        <f t="shared" ref="U11:U17" si="15">R11+S11</f>
        <v>25602.018262499998</v>
      </c>
      <c r="V11" s="15">
        <f t="shared" ref="V11:V17" si="16">SUMIF(B:B,B11,U:U)</f>
        <v>141497.85460949998</v>
      </c>
      <c r="W11" s="17">
        <v>0.14549999999999999</v>
      </c>
      <c r="Y11" s="18">
        <v>11754</v>
      </c>
      <c r="Z11" s="18">
        <v>11295</v>
      </c>
      <c r="AA11" s="19">
        <f>Z11/8/36/12</f>
        <v>3.2682291666666665</v>
      </c>
      <c r="AB11" s="18">
        <f t="shared" ref="AB11:AC17" si="17">SUMIF($B$11:$B$40,$B11,Y$11:Y$40)</f>
        <v>82754</v>
      </c>
      <c r="AC11" s="18">
        <f t="shared" si="17"/>
        <v>79283</v>
      </c>
      <c r="AD11" s="17">
        <f t="shared" ref="AD11:AD17" si="18">IF(AND(ISNUMBER(Y11), Y11&gt;0), (Z11-Y11)/Y11, "")</f>
        <v>-3.9050535987748852E-2</v>
      </c>
      <c r="AE11" s="15">
        <v>49299</v>
      </c>
      <c r="AF11" s="15">
        <f t="shared" ref="AF11:AF17" si="19">SUMIF(A:A,A11,U:U)</f>
        <v>165097.85460949998</v>
      </c>
      <c r="AG11" s="17">
        <v>0.12939999999999999</v>
      </c>
      <c r="AH11" s="15">
        <v>360491</v>
      </c>
      <c r="AI11" s="15">
        <v>429324</v>
      </c>
      <c r="AJ11" s="17">
        <f t="shared" ref="AJ11:AJ18" si="20">(AI11-AH11)/AH11</f>
        <v>0.19094235362325274</v>
      </c>
      <c r="AK11" s="15">
        <v>413036</v>
      </c>
      <c r="AL11" s="15">
        <v>429324</v>
      </c>
      <c r="AM11" s="17">
        <f t="shared" ref="AM11:AM18" si="21">(AL11-AK11)/AK11</f>
        <v>3.9434819240937835E-2</v>
      </c>
      <c r="AN11" s="15">
        <v>319297</v>
      </c>
      <c r="AO11" s="15">
        <v>367000</v>
      </c>
      <c r="AP11" s="17">
        <f t="shared" ref="AP11:AP18" si="22">(AO11-AN11)/AN11</f>
        <v>0.14940008831902585</v>
      </c>
      <c r="AQ11" s="20" t="e">
        <f>AK11-#REF!</f>
        <v>#REF!</v>
      </c>
      <c r="AR11" s="20" t="e">
        <f>AL11-#REF!</f>
        <v>#REF!</v>
      </c>
      <c r="AS11" s="17" t="e">
        <f t="shared" ref="AS11:AS18" si="23">(AR11-AQ11)/AQ11</f>
        <v>#REF!</v>
      </c>
      <c r="AT11" s="21">
        <v>166</v>
      </c>
      <c r="AU11" s="21">
        <v>166</v>
      </c>
    </row>
    <row r="12" spans="1:47" x14ac:dyDescent="0.35">
      <c r="A12" s="8" t="s">
        <v>48</v>
      </c>
      <c r="B12" s="36" t="s">
        <v>64</v>
      </c>
      <c r="C12" s="15">
        <v>2963.9592822425329</v>
      </c>
      <c r="D12" s="8">
        <v>1.05</v>
      </c>
      <c r="E12" s="8">
        <v>2</v>
      </c>
      <c r="F12" s="16">
        <v>1.988486</v>
      </c>
      <c r="G12" s="37">
        <f t="shared" si="12"/>
        <v>1056</v>
      </c>
      <c r="H12" s="8">
        <v>2</v>
      </c>
      <c r="I12" s="8">
        <v>2</v>
      </c>
      <c r="L12" s="8">
        <v>1</v>
      </c>
      <c r="N12" s="8">
        <v>36</v>
      </c>
      <c r="O12" s="37">
        <v>22</v>
      </c>
      <c r="P12" s="8">
        <v>2</v>
      </c>
      <c r="Q12" s="15">
        <f t="shared" si="13"/>
        <v>3466.045032</v>
      </c>
      <c r="R12" s="15">
        <f t="shared" si="14"/>
        <v>2963.9592822425329</v>
      </c>
      <c r="U12" s="15">
        <f t="shared" si="15"/>
        <v>2963.9592822425329</v>
      </c>
      <c r="V12" s="15">
        <f t="shared" si="16"/>
        <v>81347.748532242535</v>
      </c>
      <c r="W12" s="17">
        <v>1.7899999999999999E-2</v>
      </c>
      <c r="Y12" s="18">
        <v>705</v>
      </c>
      <c r="Z12" s="18">
        <v>1212</v>
      </c>
      <c r="AA12" s="19">
        <f>Z12/8/36/12</f>
        <v>0.35069444444444442</v>
      </c>
      <c r="AB12" s="18">
        <f t="shared" si="17"/>
        <v>34603</v>
      </c>
      <c r="AC12" s="18">
        <f t="shared" si="17"/>
        <v>32713</v>
      </c>
      <c r="AD12" s="17">
        <f t="shared" si="18"/>
        <v>0.7191489361702128</v>
      </c>
      <c r="AE12" s="15">
        <v>8500</v>
      </c>
      <c r="AF12" s="15">
        <f t="shared" si="19"/>
        <v>174647.74853224255</v>
      </c>
      <c r="AG12" s="17">
        <v>6.0199999999999997E-2</v>
      </c>
      <c r="AH12" s="15">
        <v>193719</v>
      </c>
      <c r="AI12" s="15">
        <v>184266</v>
      </c>
      <c r="AJ12" s="17">
        <f t="shared" si="20"/>
        <v>-4.8797485016957555E-2</v>
      </c>
      <c r="AK12" s="15">
        <v>186709</v>
      </c>
      <c r="AL12" s="15">
        <v>189195</v>
      </c>
      <c r="AM12" s="17">
        <f t="shared" si="21"/>
        <v>1.3314837527917775E-2</v>
      </c>
      <c r="AN12" s="15">
        <v>151287</v>
      </c>
      <c r="AO12" s="15">
        <v>140985</v>
      </c>
      <c r="AP12" s="17">
        <f t="shared" si="22"/>
        <v>-6.8095738563128352E-2</v>
      </c>
      <c r="AQ12" s="20" t="e">
        <f>AK12-#REF!</f>
        <v>#REF!</v>
      </c>
      <c r="AR12" s="20" t="e">
        <f>AL12-#REF!</f>
        <v>#REF!</v>
      </c>
      <c r="AS12" s="17" t="e">
        <f t="shared" si="23"/>
        <v>#REF!</v>
      </c>
      <c r="AT12" s="21">
        <v>80</v>
      </c>
      <c r="AU12" s="21">
        <v>83</v>
      </c>
    </row>
    <row r="13" spans="1:47" x14ac:dyDescent="0.35">
      <c r="A13" s="8" t="s">
        <v>58</v>
      </c>
      <c r="B13" s="36" t="s">
        <v>59</v>
      </c>
      <c r="C13" s="15">
        <v>30772.272870043191</v>
      </c>
      <c r="D13" s="8">
        <v>1.05</v>
      </c>
      <c r="E13" s="8">
        <v>2</v>
      </c>
      <c r="F13" s="16">
        <v>1.9221189999999999</v>
      </c>
      <c r="G13" s="37">
        <f t="shared" si="12"/>
        <v>4224</v>
      </c>
      <c r="H13" s="8">
        <v>2</v>
      </c>
      <c r="I13" s="8">
        <v>2</v>
      </c>
      <c r="L13" s="8">
        <v>4</v>
      </c>
      <c r="N13" s="8">
        <v>36</v>
      </c>
      <c r="O13" s="37">
        <v>22</v>
      </c>
      <c r="P13" s="8">
        <v>2</v>
      </c>
      <c r="Q13" s="15">
        <f t="shared" si="13"/>
        <v>19981.531562</v>
      </c>
      <c r="R13" s="15">
        <f t="shared" si="14"/>
        <v>19981.531562</v>
      </c>
      <c r="U13" s="15">
        <f t="shared" si="15"/>
        <v>19981.531562</v>
      </c>
      <c r="V13" s="15">
        <f t="shared" si="16"/>
        <v>151181.255489</v>
      </c>
      <c r="W13" s="17">
        <v>0.20630000000000001</v>
      </c>
      <c r="Y13" s="18">
        <v>9176</v>
      </c>
      <c r="Z13" s="18">
        <v>8198</v>
      </c>
      <c r="AA13" s="19">
        <f>Z13/8/36/12</f>
        <v>2.3721064814814814</v>
      </c>
      <c r="AB13" s="18">
        <f t="shared" si="17"/>
        <v>35104</v>
      </c>
      <c r="AC13" s="18">
        <f t="shared" si="17"/>
        <v>30564</v>
      </c>
      <c r="AD13" s="17">
        <f t="shared" si="18"/>
        <v>-0.10658238884045336</v>
      </c>
      <c r="AE13" s="15">
        <v>-18107</v>
      </c>
      <c r="AF13" s="15">
        <f t="shared" si="19"/>
        <v>151181.255489</v>
      </c>
      <c r="AG13" s="17">
        <v>0.2833</v>
      </c>
      <c r="AH13" s="15">
        <v>219795</v>
      </c>
      <c r="AI13" s="15">
        <v>210679</v>
      </c>
      <c r="AJ13" s="17">
        <f t="shared" si="20"/>
        <v>-4.1475010805523328E-2</v>
      </c>
      <c r="AK13" s="15">
        <v>201688</v>
      </c>
      <c r="AL13" s="15">
        <v>210679</v>
      </c>
      <c r="AM13" s="17">
        <f t="shared" si="21"/>
        <v>4.4578755305223913E-2</v>
      </c>
      <c r="AN13" s="15">
        <v>171379</v>
      </c>
      <c r="AO13" s="15">
        <v>167441</v>
      </c>
      <c r="AP13" s="17">
        <f t="shared" si="22"/>
        <v>-2.2978311228330193E-2</v>
      </c>
      <c r="AQ13" s="20" t="e">
        <f>AK13-#REF!</f>
        <v>#REF!</v>
      </c>
      <c r="AR13" s="20" t="e">
        <f>AL13-#REF!</f>
        <v>#REF!</v>
      </c>
      <c r="AS13" s="17" t="e">
        <f t="shared" si="23"/>
        <v>#REF!</v>
      </c>
      <c r="AT13" s="21">
        <v>62</v>
      </c>
      <c r="AU13" s="21">
        <v>74</v>
      </c>
    </row>
    <row r="14" spans="1:47" x14ac:dyDescent="0.35">
      <c r="A14" s="8" t="s">
        <v>65</v>
      </c>
      <c r="B14" s="36" t="s">
        <v>66</v>
      </c>
      <c r="C14" s="15">
        <v>55597.282897338831</v>
      </c>
      <c r="D14" s="8">
        <v>1.05</v>
      </c>
      <c r="E14" s="8">
        <v>2</v>
      </c>
      <c r="F14" s="16">
        <v>1.8618699999999999</v>
      </c>
      <c r="G14" s="37">
        <f t="shared" si="12"/>
        <v>4224</v>
      </c>
      <c r="H14" s="8">
        <v>2</v>
      </c>
      <c r="I14" s="8">
        <v>2</v>
      </c>
      <c r="L14" s="8">
        <v>4</v>
      </c>
      <c r="N14" s="8">
        <v>36</v>
      </c>
      <c r="O14" s="37">
        <v>22</v>
      </c>
      <c r="P14" s="8">
        <v>2</v>
      </c>
      <c r="Q14" s="15">
        <f t="shared" si="13"/>
        <v>31295.589799999998</v>
      </c>
      <c r="R14" s="15">
        <f t="shared" si="14"/>
        <v>31295.589799999998</v>
      </c>
      <c r="S14" s="15">
        <v>10000</v>
      </c>
      <c r="T14" s="15" t="s">
        <v>67</v>
      </c>
      <c r="U14" s="15">
        <f t="shared" si="15"/>
        <v>41295.589800000002</v>
      </c>
      <c r="V14" s="15">
        <f t="shared" si="16"/>
        <v>110799.25591366665</v>
      </c>
      <c r="W14" s="17">
        <v>0.31969999999999998</v>
      </c>
      <c r="Y14" s="18">
        <v>14740</v>
      </c>
      <c r="Z14" s="18">
        <v>14540</v>
      </c>
      <c r="AA14" s="19">
        <f>Z14/8/36/12</f>
        <v>4.2071759259259265</v>
      </c>
      <c r="AB14" s="18">
        <f t="shared" si="17"/>
        <v>36945</v>
      </c>
      <c r="AC14" s="18">
        <f t="shared" si="17"/>
        <v>35398</v>
      </c>
      <c r="AD14" s="17">
        <f t="shared" si="18"/>
        <v>-1.3568521031207599E-2</v>
      </c>
      <c r="AE14" s="15">
        <v>-8000</v>
      </c>
      <c r="AF14" s="15">
        <f t="shared" si="19"/>
        <v>110799.25591366665</v>
      </c>
      <c r="AG14" s="17">
        <v>0.315</v>
      </c>
      <c r="AH14" s="15">
        <v>205403</v>
      </c>
      <c r="AI14" s="15">
        <v>232844</v>
      </c>
      <c r="AJ14" s="17">
        <f t="shared" si="20"/>
        <v>0.1335959065836429</v>
      </c>
      <c r="AK14" s="15">
        <v>197275</v>
      </c>
      <c r="AL14" s="15">
        <v>232594</v>
      </c>
      <c r="AM14" s="17">
        <f t="shared" si="21"/>
        <v>0.17903434292231657</v>
      </c>
      <c r="AN14" s="15">
        <v>153394</v>
      </c>
      <c r="AO14" s="15">
        <v>178453</v>
      </c>
      <c r="AP14" s="17">
        <f t="shared" si="22"/>
        <v>0.16336362569592031</v>
      </c>
      <c r="AQ14" s="20" t="e">
        <f>AK14-#REF!</f>
        <v>#REF!</v>
      </c>
      <c r="AR14" s="20" t="e">
        <f>AL14-#REF!</f>
        <v>#REF!</v>
      </c>
      <c r="AS14" s="17" t="e">
        <f t="shared" si="23"/>
        <v>#REF!</v>
      </c>
      <c r="AT14" s="21">
        <v>94</v>
      </c>
      <c r="AU14" s="21">
        <v>94</v>
      </c>
    </row>
    <row r="15" spans="1:47" x14ac:dyDescent="0.35">
      <c r="A15" s="8" t="s">
        <v>50</v>
      </c>
      <c r="B15" s="36" t="s">
        <v>68</v>
      </c>
      <c r="C15" s="15">
        <v>105006.7468075371</v>
      </c>
      <c r="D15" s="8">
        <v>1.05</v>
      </c>
      <c r="E15" s="8">
        <v>2</v>
      </c>
      <c r="F15" s="16">
        <v>1.326336</v>
      </c>
      <c r="G15" s="37">
        <f t="shared" si="12"/>
        <v>12672</v>
      </c>
      <c r="H15" s="8">
        <v>2</v>
      </c>
      <c r="I15" s="8">
        <v>2</v>
      </c>
      <c r="J15" s="8">
        <v>4</v>
      </c>
      <c r="K15" s="8">
        <v>4</v>
      </c>
      <c r="L15" s="8">
        <v>4</v>
      </c>
      <c r="N15" s="8">
        <v>36</v>
      </c>
      <c r="O15" s="37">
        <v>22</v>
      </c>
      <c r="P15" s="8">
        <v>2</v>
      </c>
      <c r="Q15" s="15">
        <f t="shared" si="13"/>
        <v>106725.13843199999</v>
      </c>
      <c r="R15" s="15">
        <f t="shared" si="14"/>
        <v>105006.7468075371</v>
      </c>
      <c r="U15" s="15">
        <f t="shared" si="15"/>
        <v>105006.7468075371</v>
      </c>
      <c r="V15" s="15">
        <f t="shared" si="16"/>
        <v>177999.99999999997</v>
      </c>
      <c r="W15" s="17">
        <v>0.1711</v>
      </c>
      <c r="Y15" s="18">
        <f>12700+32700+29098</f>
        <v>74498</v>
      </c>
      <c r="Z15" s="18">
        <f>120205-14236-35057</f>
        <v>70912</v>
      </c>
      <c r="AA15" s="19">
        <f>Z15/18/36/12</f>
        <v>9.1193415637860085</v>
      </c>
      <c r="AB15" s="18">
        <f t="shared" si="17"/>
        <v>129248</v>
      </c>
      <c r="AC15" s="18">
        <f t="shared" si="17"/>
        <v>120205</v>
      </c>
      <c r="AD15" s="17">
        <f t="shared" si="18"/>
        <v>-4.8135520416655482E-2</v>
      </c>
      <c r="AE15" s="15">
        <v>-5685</v>
      </c>
      <c r="AF15" s="15">
        <f t="shared" si="19"/>
        <v>688483.76834133326</v>
      </c>
      <c r="AG15" s="17">
        <v>0.1951</v>
      </c>
      <c r="AH15" s="15">
        <v>437530</v>
      </c>
      <c r="AI15" s="15">
        <v>482674</v>
      </c>
      <c r="AJ15" s="17">
        <f t="shared" si="20"/>
        <v>0.10317921056841817</v>
      </c>
      <c r="AK15" s="15">
        <v>431845</v>
      </c>
      <c r="AL15" s="15">
        <v>483335</v>
      </c>
      <c r="AM15" s="17">
        <f t="shared" si="21"/>
        <v>0.11923259502830877</v>
      </c>
      <c r="AN15" s="15">
        <v>343438</v>
      </c>
      <c r="AO15" s="15">
        <v>383460</v>
      </c>
      <c r="AP15" s="17">
        <f t="shared" si="22"/>
        <v>0.11653340632079152</v>
      </c>
      <c r="AQ15" s="20" t="e">
        <f>AK15-#REF!</f>
        <v>#REF!</v>
      </c>
      <c r="AR15" s="20" t="e">
        <f>AL15-#REF!</f>
        <v>#REF!</v>
      </c>
      <c r="AS15" s="17" t="e">
        <f t="shared" si="23"/>
        <v>#REF!</v>
      </c>
      <c r="AT15" s="21">
        <v>148</v>
      </c>
      <c r="AU15" s="21">
        <v>182</v>
      </c>
    </row>
    <row r="16" spans="1:47" x14ac:dyDescent="0.35">
      <c r="A16" s="8" t="s">
        <v>55</v>
      </c>
      <c r="B16" s="36" t="s">
        <v>69</v>
      </c>
      <c r="C16" s="15">
        <v>28801.17585059781</v>
      </c>
      <c r="D16" s="8">
        <v>1.05</v>
      </c>
      <c r="E16" s="8">
        <v>2</v>
      </c>
      <c r="F16" s="16">
        <v>1.8928115000000001</v>
      </c>
      <c r="G16" s="37">
        <f t="shared" si="12"/>
        <v>8448</v>
      </c>
      <c r="H16" s="8">
        <v>2</v>
      </c>
      <c r="I16" s="8">
        <v>2</v>
      </c>
      <c r="J16" s="8">
        <v>4</v>
      </c>
      <c r="L16" s="8">
        <v>4</v>
      </c>
      <c r="N16" s="8">
        <v>36</v>
      </c>
      <c r="O16" s="37">
        <v>22</v>
      </c>
      <c r="P16" s="8">
        <v>2</v>
      </c>
      <c r="Q16" s="15">
        <f t="shared" si="13"/>
        <v>29804.592154500002</v>
      </c>
      <c r="R16" s="15">
        <f t="shared" si="14"/>
        <v>28801.17585059781</v>
      </c>
      <c r="U16" s="15">
        <f t="shared" si="15"/>
        <v>28801.17585059781</v>
      </c>
      <c r="V16" s="15">
        <f t="shared" si="16"/>
        <v>161852.25314859784</v>
      </c>
      <c r="W16" s="17">
        <v>0.1071</v>
      </c>
      <c r="Y16" s="18">
        <v>11200</v>
      </c>
      <c r="Z16" s="18">
        <f>3575+7708</f>
        <v>11283</v>
      </c>
      <c r="AA16" s="19">
        <f>Z16/16/36/12</f>
        <v>1.6323784722222223</v>
      </c>
      <c r="AB16" s="18">
        <f t="shared" si="17"/>
        <v>64648</v>
      </c>
      <c r="AC16" s="18">
        <f t="shared" si="17"/>
        <v>60722</v>
      </c>
      <c r="AD16" s="17">
        <f t="shared" si="18"/>
        <v>7.4107142857142861E-3</v>
      </c>
      <c r="AE16" s="15">
        <v>-387</v>
      </c>
      <c r="AF16" s="15">
        <f t="shared" si="19"/>
        <v>344898.9793152645</v>
      </c>
      <c r="AG16" s="17">
        <v>4.8000000000000001E-2</v>
      </c>
      <c r="AH16" s="15">
        <v>313138</v>
      </c>
      <c r="AI16" s="15">
        <v>330159</v>
      </c>
      <c r="AJ16" s="17">
        <f t="shared" si="20"/>
        <v>5.4356226328328087E-2</v>
      </c>
      <c r="AK16" s="15">
        <v>301642</v>
      </c>
      <c r="AL16" s="15">
        <v>293859</v>
      </c>
      <c r="AM16" s="17">
        <f t="shared" si="21"/>
        <v>-2.5802109785772537E-2</v>
      </c>
      <c r="AN16" s="15">
        <v>255189</v>
      </c>
      <c r="AO16" s="15">
        <v>251217</v>
      </c>
      <c r="AP16" s="17">
        <f t="shared" si="22"/>
        <v>-1.5564934225221306E-2</v>
      </c>
      <c r="AQ16" s="20" t="e">
        <f>AK16-#REF!</f>
        <v>#REF!</v>
      </c>
      <c r="AR16" s="20" t="e">
        <f>AL16-#REF!</f>
        <v>#REF!</v>
      </c>
      <c r="AS16" s="17" t="e">
        <f t="shared" si="23"/>
        <v>#REF!</v>
      </c>
      <c r="AT16" s="21">
        <v>71</v>
      </c>
      <c r="AU16" s="21">
        <v>127</v>
      </c>
    </row>
    <row r="17" spans="1:47" x14ac:dyDescent="0.35">
      <c r="A17" s="8" t="s">
        <v>55</v>
      </c>
      <c r="B17" s="36" t="s">
        <v>70</v>
      </c>
      <c r="C17" s="15">
        <v>48519.572398452932</v>
      </c>
      <c r="D17" s="8">
        <v>1.05</v>
      </c>
      <c r="E17" s="8">
        <v>2</v>
      </c>
      <c r="F17" s="16">
        <v>1.5535665000000001</v>
      </c>
      <c r="G17" s="37">
        <f t="shared" si="12"/>
        <v>12672</v>
      </c>
      <c r="H17" s="8">
        <v>2</v>
      </c>
      <c r="I17" s="8">
        <v>2</v>
      </c>
      <c r="J17" s="8">
        <v>4</v>
      </c>
      <c r="K17" s="8">
        <v>4</v>
      </c>
      <c r="L17" s="8">
        <v>4</v>
      </c>
      <c r="N17" s="8">
        <v>36</v>
      </c>
      <c r="O17" s="37">
        <v>22</v>
      </c>
      <c r="P17" s="8">
        <v>2</v>
      </c>
      <c r="Q17" s="15">
        <f t="shared" si="13"/>
        <v>85678.75053450001</v>
      </c>
      <c r="R17" s="15">
        <f t="shared" si="14"/>
        <v>48519.572398452932</v>
      </c>
      <c r="S17" s="15">
        <v>-10000</v>
      </c>
      <c r="T17" s="15" t="s">
        <v>71</v>
      </c>
      <c r="U17" s="15">
        <f t="shared" si="15"/>
        <v>38519.572398452932</v>
      </c>
      <c r="V17" s="15">
        <f t="shared" si="16"/>
        <v>52200</v>
      </c>
      <c r="W17" s="17">
        <v>4.19E-2</v>
      </c>
      <c r="Y17" s="18">
        <f>5538+19928+17468</f>
        <v>42934</v>
      </c>
      <c r="Z17" s="18">
        <f>6210+26197+14586</f>
        <v>46993</v>
      </c>
      <c r="AA17" s="19">
        <f>Z17/8/36/12</f>
        <v>13.597511574074074</v>
      </c>
      <c r="AB17" s="18">
        <f t="shared" si="17"/>
        <v>52901</v>
      </c>
      <c r="AC17" s="18">
        <f t="shared" si="17"/>
        <v>60243</v>
      </c>
      <c r="AD17" s="17">
        <f t="shared" si="18"/>
        <v>9.4540457446312939E-2</v>
      </c>
      <c r="AE17" s="15">
        <v>2987</v>
      </c>
      <c r="AF17" s="15">
        <f t="shared" si="19"/>
        <v>344898.9793152645</v>
      </c>
      <c r="AG17" s="17">
        <v>4.8000000000000001E-2</v>
      </c>
      <c r="AH17" s="15">
        <v>172368</v>
      </c>
      <c r="AI17" s="15">
        <v>176000</v>
      </c>
      <c r="AJ17" s="17">
        <f t="shared" si="20"/>
        <v>2.1071196509793E-2</v>
      </c>
      <c r="AK17" s="15">
        <v>175355</v>
      </c>
      <c r="AL17" s="15">
        <v>176000</v>
      </c>
      <c r="AM17" s="17">
        <f t="shared" si="21"/>
        <v>3.6782526874055486E-3</v>
      </c>
      <c r="AN17" s="15">
        <v>98317</v>
      </c>
      <c r="AO17" s="15">
        <v>101000</v>
      </c>
      <c r="AP17" s="17">
        <f t="shared" si="22"/>
        <v>2.7289278558133383E-2</v>
      </c>
      <c r="AQ17" s="20" t="e">
        <f>AK17-#REF!</f>
        <v>#REF!</v>
      </c>
      <c r="AR17" s="20" t="e">
        <f>AL17-#REF!</f>
        <v>#REF!</v>
      </c>
      <c r="AS17" s="17" t="e">
        <f t="shared" si="23"/>
        <v>#REF!</v>
      </c>
      <c r="AT17" s="21">
        <v>92</v>
      </c>
      <c r="AU17" s="21">
        <v>134</v>
      </c>
    </row>
    <row r="18" spans="1:47" x14ac:dyDescent="0.35">
      <c r="A18" s="22" t="s">
        <v>60</v>
      </c>
      <c r="B18" s="22" t="s">
        <v>72</v>
      </c>
      <c r="C18" s="23">
        <v>298301.84105357819</v>
      </c>
      <c r="D18" s="23"/>
      <c r="E18" s="23"/>
      <c r="F18" s="23">
        <v>12.437886499999999</v>
      </c>
      <c r="G18" s="38"/>
      <c r="H18" s="22"/>
      <c r="I18" s="22"/>
      <c r="J18" s="22"/>
      <c r="K18" s="22"/>
      <c r="L18" s="22"/>
      <c r="M18" s="22"/>
      <c r="N18" s="22"/>
      <c r="O18" s="38"/>
      <c r="P18" s="22"/>
      <c r="Q18" s="23">
        <f>SUM(Q11:Q17)</f>
        <v>302553.66577750002</v>
      </c>
      <c r="R18" s="23">
        <f>SUM(R11:R17)</f>
        <v>262170.59396333038</v>
      </c>
      <c r="S18" s="23">
        <f>SUM(S11:S17)</f>
        <v>0</v>
      </c>
      <c r="T18" s="23"/>
      <c r="U18" s="23">
        <f>SUM(U11:U17)</f>
        <v>262170.59396333038</v>
      </c>
      <c r="V18" s="23">
        <f>SUM(V11:V17)</f>
        <v>876878.36769300699</v>
      </c>
      <c r="W18" s="24" t="e">
        <f>IF(#REF!&gt;0,(#REF!-#REF!)/#REF!,"")</f>
        <v>#REF!</v>
      </c>
      <c r="X18" s="24"/>
      <c r="Y18" s="25">
        <f>SUM(Y11:Y17)</f>
        <v>165007</v>
      </c>
      <c r="Z18" s="25">
        <f>SUM(Z11:Z17)</f>
        <v>164433</v>
      </c>
      <c r="AA18" s="25"/>
      <c r="AB18" s="25">
        <f>SUM(AB11:AB17)</f>
        <v>436203</v>
      </c>
      <c r="AC18" s="25">
        <f>SUM(AC11:AC17)</f>
        <v>419128</v>
      </c>
      <c r="AD18" s="24">
        <f>IF(Y18&gt;0,(Z18-Y18)/Y18,"")</f>
        <v>-3.4786403001084805E-3</v>
      </c>
      <c r="AE18" s="23">
        <f>SUM(AE11:AE17)</f>
        <v>28607</v>
      </c>
      <c r="AF18" s="23">
        <f>SUM(AF11:AF17)</f>
        <v>1980007.8415162717</v>
      </c>
      <c r="AG18" s="17">
        <v>4.8000000000000001E-2</v>
      </c>
      <c r="AH18" s="23">
        <f>SUM(AH11:AH17)</f>
        <v>1902444</v>
      </c>
      <c r="AI18" s="23">
        <f>SUM(AI11:AI17)</f>
        <v>2045946</v>
      </c>
      <c r="AJ18" s="24">
        <f t="shared" si="20"/>
        <v>7.5430341182184599E-2</v>
      </c>
      <c r="AK18" s="23">
        <f>SUM(AK11:AK17)</f>
        <v>1907550</v>
      </c>
      <c r="AL18" s="23">
        <f>SUM(AL11:AL17)</f>
        <v>2014986</v>
      </c>
      <c r="AM18" s="24">
        <f t="shared" si="21"/>
        <v>5.6321459463709991E-2</v>
      </c>
      <c r="AN18" s="23">
        <f>SUM(AN11:AN17)</f>
        <v>1492301</v>
      </c>
      <c r="AO18" s="23">
        <f>SUM(AO11:AO17)</f>
        <v>1589556</v>
      </c>
      <c r="AP18" s="24">
        <f t="shared" si="22"/>
        <v>6.5171168551116695E-2</v>
      </c>
      <c r="AQ18" s="20" t="e">
        <f>AK18-#REF!</f>
        <v>#REF!</v>
      </c>
      <c r="AR18" s="20" t="e">
        <f>AL18-#REF!</f>
        <v>#REF!</v>
      </c>
      <c r="AS18" s="24" t="e">
        <f t="shared" si="23"/>
        <v>#REF!</v>
      </c>
      <c r="AT18" s="26"/>
      <c r="AU18" s="21"/>
    </row>
    <row r="19" spans="1:47" x14ac:dyDescent="0.35">
      <c r="A19" s="9" t="s">
        <v>73</v>
      </c>
      <c r="B19" s="10"/>
      <c r="C19" s="11"/>
      <c r="D19" s="10"/>
      <c r="E19" s="10"/>
      <c r="F19" s="10"/>
      <c r="G19" s="35"/>
      <c r="H19" s="10"/>
      <c r="I19" s="10"/>
      <c r="J19" s="10"/>
      <c r="K19" s="10"/>
      <c r="L19" s="10"/>
      <c r="M19" s="10"/>
      <c r="N19" s="10"/>
      <c r="O19" s="35"/>
      <c r="P19" s="10"/>
      <c r="Q19" s="39"/>
      <c r="R19" s="39" t="e">
        <f>IF(ROUNDDOWN((R9-(#REF!*Y9/AB9))/(#REF!*Y9/AB9)*100,0)&gt;0,"+"&amp;ROUNDDOWN((R9-(#REF!*Y9/AB9))/(#REF!*Y9/AB9)*100,0)&amp;"% /2025",ROUNDDOWN((R9-(#REF!*Y9/AB9))/(#REF!*Y9/AB9)*100,0)&amp;"% /2025")</f>
        <v>#REF!</v>
      </c>
      <c r="S19" s="39"/>
      <c r="T19" s="39"/>
      <c r="U19" s="11"/>
      <c r="V19" s="11"/>
      <c r="W19" s="12"/>
      <c r="X19" s="12"/>
      <c r="Y19" s="13"/>
      <c r="Z19" s="13"/>
      <c r="AA19" s="13"/>
      <c r="AB19" s="13"/>
      <c r="AC19" s="13"/>
      <c r="AD19" s="12"/>
      <c r="AE19" s="11"/>
      <c r="AF19" s="11"/>
      <c r="AG19" s="12"/>
      <c r="AH19" s="11"/>
      <c r="AI19" s="11"/>
      <c r="AJ19" s="12"/>
      <c r="AK19" s="11"/>
      <c r="AL19" s="11"/>
      <c r="AM19" s="12"/>
      <c r="AN19" s="11"/>
      <c r="AO19" s="11"/>
      <c r="AP19" s="12"/>
      <c r="AQ19" s="12"/>
      <c r="AR19" s="12"/>
      <c r="AS19" s="12"/>
      <c r="AT19" s="14"/>
      <c r="AU19" s="21"/>
    </row>
    <row r="20" spans="1:47" x14ac:dyDescent="0.35">
      <c r="A20" s="8" t="s">
        <v>62</v>
      </c>
      <c r="B20" s="36" t="s">
        <v>63</v>
      </c>
      <c r="C20" s="15">
        <v>40608.692910207727</v>
      </c>
      <c r="D20" s="8">
        <v>1.1000000000000001</v>
      </c>
      <c r="E20" s="8">
        <v>2.1</v>
      </c>
      <c r="F20" s="16">
        <v>1.23915</v>
      </c>
      <c r="G20" s="37">
        <f t="shared" ref="G20:G28" si="24">(H20*I20*(J20+K20+L20+M20)*N20*O20)/(P20+1)</f>
        <v>5280</v>
      </c>
      <c r="H20" s="8">
        <v>2</v>
      </c>
      <c r="I20" s="8">
        <v>10</v>
      </c>
      <c r="M20" s="8">
        <v>1</v>
      </c>
      <c r="N20" s="8">
        <v>36</v>
      </c>
      <c r="O20" s="37">
        <v>22</v>
      </c>
      <c r="P20" s="8">
        <v>2</v>
      </c>
      <c r="Q20" s="15">
        <f t="shared" ref="Q20:Q28" si="25">IF(Z20&gt;0,G20+F20*Z20,0)</f>
        <v>26614.44555</v>
      </c>
      <c r="R20" s="15">
        <f t="shared" ref="R20:R28" si="26">IF(Q20&gt;C20,C20,Q20)</f>
        <v>26614.44555</v>
      </c>
      <c r="U20" s="15">
        <f t="shared" ref="U20:U28" si="27">R20+S20</f>
        <v>26614.44555</v>
      </c>
      <c r="V20" s="15">
        <f t="shared" ref="V20:V28" si="28">SUMIF(B:B,B20,U:U)</f>
        <v>141497.85460949998</v>
      </c>
      <c r="W20" s="17">
        <v>0.14549999999999999</v>
      </c>
      <c r="Y20" s="18">
        <v>17195</v>
      </c>
      <c r="Z20" s="18">
        <v>17217</v>
      </c>
      <c r="AB20" s="18">
        <f t="shared" ref="AB20:AB28" si="29">SUMIF($B$11:$B$40,$B20,Y$11:Y$40)</f>
        <v>82754</v>
      </c>
      <c r="AC20" s="18">
        <f t="shared" ref="AC20:AC28" si="30">SUMIF($B$11:$B$40,$B20,Z$11:Z$40)</f>
        <v>79283</v>
      </c>
      <c r="AD20" s="17">
        <f t="shared" ref="AD20:AD28" si="31">IF(AND(ISNUMBER(Y20), Y20&gt;0), (Z20-Y20)/Y20, "")</f>
        <v>1.2794416981680721E-3</v>
      </c>
      <c r="AE20" s="15">
        <f>AE11</f>
        <v>49299</v>
      </c>
      <c r="AF20" s="15">
        <f t="shared" ref="AF20:AF28" si="32">SUMIF(A:A,A20,U:U)</f>
        <v>165097.85460949998</v>
      </c>
      <c r="AG20" s="17">
        <v>0.12939999999999999</v>
      </c>
      <c r="AH20" s="15">
        <v>360491</v>
      </c>
      <c r="AI20" s="15">
        <v>429324</v>
      </c>
      <c r="AJ20" s="17">
        <f t="shared" ref="AJ20:AJ29" si="33">(AI20-AH20)/AH20</f>
        <v>0.19094235362325274</v>
      </c>
      <c r="AK20" s="15">
        <v>413036</v>
      </c>
      <c r="AL20" s="15">
        <v>429324</v>
      </c>
      <c r="AM20" s="17">
        <f t="shared" ref="AM20:AM29" si="34">(AL20-AK20)/AK20</f>
        <v>3.9434819240937835E-2</v>
      </c>
      <c r="AN20" s="15">
        <v>319297</v>
      </c>
      <c r="AO20" s="15">
        <v>367000</v>
      </c>
      <c r="AP20" s="17">
        <f t="shared" ref="AP20:AP29" si="35">(AO20-AN20)/AN20</f>
        <v>0.14940008831902585</v>
      </c>
      <c r="AQ20" s="20" t="e">
        <f>AK20-#REF!</f>
        <v>#REF!</v>
      </c>
      <c r="AR20" s="20" t="e">
        <f>AL20-#REF!</f>
        <v>#REF!</v>
      </c>
      <c r="AS20" s="17" t="e">
        <f t="shared" ref="AS20:AS29" si="36">(AR20-AQ20)/AQ20</f>
        <v>#REF!</v>
      </c>
      <c r="AT20" s="21">
        <v>166</v>
      </c>
      <c r="AU20" s="21">
        <v>166</v>
      </c>
    </row>
    <row r="21" spans="1:47" x14ac:dyDescent="0.35">
      <c r="A21" s="8" t="s">
        <v>48</v>
      </c>
      <c r="B21" s="36" t="s">
        <v>64</v>
      </c>
      <c r="C21" s="15">
        <v>21107.205086662791</v>
      </c>
      <c r="D21" s="8">
        <v>1.1000000000000001</v>
      </c>
      <c r="E21" s="8">
        <v>2.1</v>
      </c>
      <c r="F21" s="16">
        <v>1.66845</v>
      </c>
      <c r="G21" s="37">
        <f t="shared" si="24"/>
        <v>5280</v>
      </c>
      <c r="H21" s="8">
        <v>2</v>
      </c>
      <c r="I21" s="8">
        <v>10</v>
      </c>
      <c r="M21" s="8">
        <v>1</v>
      </c>
      <c r="N21" s="8">
        <v>36</v>
      </c>
      <c r="O21" s="37">
        <v>22</v>
      </c>
      <c r="P21" s="8">
        <v>2</v>
      </c>
      <c r="Q21" s="15">
        <f t="shared" si="25"/>
        <v>19680.391949999997</v>
      </c>
      <c r="R21" s="15">
        <f t="shared" si="26"/>
        <v>19680.391949999997</v>
      </c>
      <c r="U21" s="15">
        <f t="shared" si="27"/>
        <v>19680.391949999997</v>
      </c>
      <c r="V21" s="15">
        <f t="shared" si="28"/>
        <v>81347.748532242535</v>
      </c>
      <c r="W21" s="17">
        <v>1.7899999999999999E-2</v>
      </c>
      <c r="Y21" s="18">
        <v>8598</v>
      </c>
      <c r="Z21" s="18">
        <v>8631</v>
      </c>
      <c r="AB21" s="18">
        <f t="shared" si="29"/>
        <v>34603</v>
      </c>
      <c r="AC21" s="18">
        <f t="shared" si="30"/>
        <v>32713</v>
      </c>
      <c r="AD21" s="17">
        <f t="shared" si="31"/>
        <v>3.8381018841591066E-3</v>
      </c>
      <c r="AE21" s="15">
        <f>AE12</f>
        <v>8500</v>
      </c>
      <c r="AF21" s="15">
        <f t="shared" si="32"/>
        <v>174647.74853224255</v>
      </c>
      <c r="AG21" s="17">
        <v>6.0199999999999997E-2</v>
      </c>
      <c r="AH21" s="15">
        <v>193719</v>
      </c>
      <c r="AI21" s="15">
        <v>184266</v>
      </c>
      <c r="AJ21" s="17">
        <f t="shared" si="33"/>
        <v>-4.8797485016957555E-2</v>
      </c>
      <c r="AK21" s="15">
        <v>186709</v>
      </c>
      <c r="AL21" s="15">
        <v>189195</v>
      </c>
      <c r="AM21" s="17">
        <f t="shared" si="34"/>
        <v>1.3314837527917775E-2</v>
      </c>
      <c r="AN21" s="15">
        <v>151287</v>
      </c>
      <c r="AO21" s="15">
        <v>140985</v>
      </c>
      <c r="AP21" s="17">
        <f t="shared" si="35"/>
        <v>-6.8095738563128352E-2</v>
      </c>
      <c r="AQ21" s="20" t="e">
        <f>AK21-#REF!</f>
        <v>#REF!</v>
      </c>
      <c r="AR21" s="20" t="e">
        <f>AL21-#REF!</f>
        <v>#REF!</v>
      </c>
      <c r="AS21" s="17" t="e">
        <f t="shared" si="36"/>
        <v>#REF!</v>
      </c>
      <c r="AT21" s="21">
        <v>80</v>
      </c>
      <c r="AU21" s="21">
        <v>83</v>
      </c>
    </row>
    <row r="22" spans="1:47" x14ac:dyDescent="0.35">
      <c r="A22" s="8" t="s">
        <v>58</v>
      </c>
      <c r="B22" s="36" t="s">
        <v>59</v>
      </c>
      <c r="C22" s="15">
        <v>26369.262858264621</v>
      </c>
      <c r="D22" s="8">
        <v>1.1000000000000001</v>
      </c>
      <c r="E22" s="8">
        <v>2.1</v>
      </c>
      <c r="F22" s="16">
        <v>1.74875</v>
      </c>
      <c r="G22" s="37">
        <f t="shared" si="24"/>
        <v>5280</v>
      </c>
      <c r="H22" s="8">
        <v>2</v>
      </c>
      <c r="I22" s="8">
        <v>10</v>
      </c>
      <c r="M22" s="8">
        <v>1</v>
      </c>
      <c r="N22" s="8">
        <v>36</v>
      </c>
      <c r="O22" s="37">
        <v>22</v>
      </c>
      <c r="P22" s="8">
        <v>2</v>
      </c>
      <c r="Q22" s="15">
        <f t="shared" si="25"/>
        <v>17564.96875</v>
      </c>
      <c r="R22" s="15">
        <f t="shared" si="26"/>
        <v>17564.96875</v>
      </c>
      <c r="U22" s="15">
        <f t="shared" si="27"/>
        <v>17564.96875</v>
      </c>
      <c r="V22" s="15">
        <f t="shared" si="28"/>
        <v>151181.255489</v>
      </c>
      <c r="W22" s="17">
        <v>0.20630000000000001</v>
      </c>
      <c r="Y22" s="18">
        <v>7808</v>
      </c>
      <c r="Z22" s="18">
        <v>7025</v>
      </c>
      <c r="AB22" s="18">
        <f t="shared" si="29"/>
        <v>35104</v>
      </c>
      <c r="AC22" s="18">
        <f t="shared" si="30"/>
        <v>30564</v>
      </c>
      <c r="AD22" s="17">
        <f t="shared" si="31"/>
        <v>-0.10028176229508197</v>
      </c>
      <c r="AE22" s="15">
        <f>AE13</f>
        <v>-18107</v>
      </c>
      <c r="AF22" s="15">
        <f t="shared" si="32"/>
        <v>151181.255489</v>
      </c>
      <c r="AG22" s="17">
        <v>0.2833</v>
      </c>
      <c r="AH22" s="15">
        <v>219795</v>
      </c>
      <c r="AI22" s="15">
        <v>210679</v>
      </c>
      <c r="AJ22" s="17">
        <f t="shared" si="33"/>
        <v>-4.1475010805523328E-2</v>
      </c>
      <c r="AK22" s="15">
        <v>201688</v>
      </c>
      <c r="AL22" s="15">
        <v>210679</v>
      </c>
      <c r="AM22" s="17">
        <f t="shared" si="34"/>
        <v>4.4578755305223913E-2</v>
      </c>
      <c r="AN22" s="15">
        <v>171379</v>
      </c>
      <c r="AO22" s="15">
        <v>167441</v>
      </c>
      <c r="AP22" s="17">
        <f t="shared" si="35"/>
        <v>-2.2978311228330193E-2</v>
      </c>
      <c r="AQ22" s="20" t="e">
        <f>AK22-#REF!</f>
        <v>#REF!</v>
      </c>
      <c r="AR22" s="20" t="e">
        <f>AL22-#REF!</f>
        <v>#REF!</v>
      </c>
      <c r="AS22" s="17" t="e">
        <f t="shared" si="36"/>
        <v>#REF!</v>
      </c>
      <c r="AT22" s="21">
        <v>62</v>
      </c>
      <c r="AU22" s="21">
        <v>74</v>
      </c>
    </row>
    <row r="23" spans="1:47" x14ac:dyDescent="0.35">
      <c r="A23" s="8" t="s">
        <v>65</v>
      </c>
      <c r="B23" s="36" t="s">
        <v>66</v>
      </c>
      <c r="C23" s="15">
        <v>19420.811543025029</v>
      </c>
      <c r="D23" s="8">
        <v>1.1000000000000001</v>
      </c>
      <c r="E23" s="8">
        <v>2.1</v>
      </c>
      <c r="F23" s="16">
        <v>1.84605</v>
      </c>
      <c r="G23" s="37">
        <f t="shared" si="24"/>
        <v>5280</v>
      </c>
      <c r="H23" s="8">
        <v>2</v>
      </c>
      <c r="I23" s="8">
        <v>10</v>
      </c>
      <c r="M23" s="8">
        <v>1</v>
      </c>
      <c r="N23" s="8">
        <v>36</v>
      </c>
      <c r="O23" s="37">
        <v>22</v>
      </c>
      <c r="P23" s="8">
        <v>2</v>
      </c>
      <c r="Q23" s="15">
        <f t="shared" si="25"/>
        <v>14656.087949999999</v>
      </c>
      <c r="R23" s="15">
        <f t="shared" si="26"/>
        <v>14656.087949999999</v>
      </c>
      <c r="U23" s="15">
        <f t="shared" si="27"/>
        <v>14656.087949999999</v>
      </c>
      <c r="V23" s="15">
        <f t="shared" si="28"/>
        <v>110799.25591366665</v>
      </c>
      <c r="W23" s="17">
        <v>0.31969999999999998</v>
      </c>
      <c r="Y23" s="18">
        <v>4717</v>
      </c>
      <c r="Z23" s="18">
        <v>5079</v>
      </c>
      <c r="AB23" s="18">
        <f t="shared" si="29"/>
        <v>36945</v>
      </c>
      <c r="AC23" s="18">
        <f t="shared" si="30"/>
        <v>35398</v>
      </c>
      <c r="AD23" s="17">
        <f t="shared" si="31"/>
        <v>7.6743693025227905E-2</v>
      </c>
      <c r="AE23" s="15">
        <f>AE14</f>
        <v>-8000</v>
      </c>
      <c r="AF23" s="15">
        <f t="shared" si="32"/>
        <v>110799.25591366665</v>
      </c>
      <c r="AG23" s="17">
        <v>0.315</v>
      </c>
      <c r="AH23" s="15">
        <v>205403</v>
      </c>
      <c r="AI23" s="15">
        <v>232844</v>
      </c>
      <c r="AJ23" s="17">
        <f t="shared" si="33"/>
        <v>0.1335959065836429</v>
      </c>
      <c r="AK23" s="15">
        <v>197275</v>
      </c>
      <c r="AL23" s="15">
        <v>232594</v>
      </c>
      <c r="AM23" s="17">
        <f t="shared" si="34"/>
        <v>0.17903434292231657</v>
      </c>
      <c r="AN23" s="15">
        <v>153394</v>
      </c>
      <c r="AO23" s="15">
        <v>178453</v>
      </c>
      <c r="AP23" s="17">
        <f t="shared" si="35"/>
        <v>0.16336362569592031</v>
      </c>
      <c r="AQ23" s="20" t="e">
        <f>AK23-#REF!</f>
        <v>#REF!</v>
      </c>
      <c r="AR23" s="20" t="e">
        <f>AL23-#REF!</f>
        <v>#REF!</v>
      </c>
      <c r="AS23" s="17" t="e">
        <f t="shared" si="36"/>
        <v>#REF!</v>
      </c>
      <c r="AT23" s="21">
        <v>94</v>
      </c>
      <c r="AU23" s="21">
        <v>94</v>
      </c>
    </row>
    <row r="24" spans="1:47" x14ac:dyDescent="0.35">
      <c r="A24" s="8" t="s">
        <v>50</v>
      </c>
      <c r="B24" s="36" t="s">
        <v>68</v>
      </c>
      <c r="C24" s="15">
        <v>21080.720435921961</v>
      </c>
      <c r="D24" s="8">
        <v>1.1000000000000001</v>
      </c>
      <c r="E24" s="8">
        <v>2.1</v>
      </c>
      <c r="F24" s="16">
        <v>1.3882000000000001</v>
      </c>
      <c r="G24" s="37">
        <f t="shared" si="24"/>
        <v>5280</v>
      </c>
      <c r="H24" s="8">
        <v>2</v>
      </c>
      <c r="I24" s="8">
        <v>10</v>
      </c>
      <c r="M24" s="8">
        <v>1</v>
      </c>
      <c r="N24" s="8">
        <v>36</v>
      </c>
      <c r="O24" s="37">
        <v>22</v>
      </c>
      <c r="P24" s="8">
        <v>2</v>
      </c>
      <c r="Q24" s="15">
        <f t="shared" si="25"/>
        <v>25042.415200000003</v>
      </c>
      <c r="R24" s="15">
        <f t="shared" si="26"/>
        <v>21080.720435921961</v>
      </c>
      <c r="U24" s="15">
        <f t="shared" si="27"/>
        <v>21080.720435921961</v>
      </c>
      <c r="V24" s="15">
        <f t="shared" si="28"/>
        <v>177999.99999999997</v>
      </c>
      <c r="W24" s="17">
        <v>0.1711</v>
      </c>
      <c r="Y24" s="18">
        <v>14400</v>
      </c>
      <c r="Z24" s="18">
        <v>14236</v>
      </c>
      <c r="AB24" s="18">
        <f t="shared" si="29"/>
        <v>129248</v>
      </c>
      <c r="AC24" s="18">
        <f t="shared" si="30"/>
        <v>120205</v>
      </c>
      <c r="AD24" s="17">
        <f t="shared" si="31"/>
        <v>-1.1388888888888889E-2</v>
      </c>
      <c r="AE24" s="15">
        <f>AE15</f>
        <v>-5685</v>
      </c>
      <c r="AF24" s="15">
        <f t="shared" si="32"/>
        <v>688483.76834133326</v>
      </c>
      <c r="AG24" s="17">
        <v>0.1951</v>
      </c>
      <c r="AH24" s="15">
        <v>437530</v>
      </c>
      <c r="AI24" s="15">
        <v>482674</v>
      </c>
      <c r="AJ24" s="17">
        <f t="shared" si="33"/>
        <v>0.10317921056841817</v>
      </c>
      <c r="AK24" s="15">
        <v>431845</v>
      </c>
      <c r="AL24" s="15">
        <v>483335</v>
      </c>
      <c r="AM24" s="17">
        <f t="shared" si="34"/>
        <v>0.11923259502830877</v>
      </c>
      <c r="AN24" s="15">
        <v>343438</v>
      </c>
      <c r="AO24" s="15">
        <v>383460</v>
      </c>
      <c r="AP24" s="17">
        <f t="shared" si="35"/>
        <v>0.11653340632079152</v>
      </c>
      <c r="AQ24" s="20" t="e">
        <f>AK24-#REF!</f>
        <v>#REF!</v>
      </c>
      <c r="AR24" s="20" t="e">
        <f>AL24-#REF!</f>
        <v>#REF!</v>
      </c>
      <c r="AS24" s="17" t="e">
        <f t="shared" si="36"/>
        <v>#REF!</v>
      </c>
      <c r="AT24" s="21">
        <v>148</v>
      </c>
      <c r="AU24" s="21">
        <v>182</v>
      </c>
    </row>
    <row r="25" spans="1:47" x14ac:dyDescent="0.35">
      <c r="A25" s="8" t="s">
        <v>74</v>
      </c>
      <c r="B25" s="36" t="s">
        <v>75</v>
      </c>
      <c r="C25" s="15">
        <v>15835.30323580701</v>
      </c>
      <c r="D25" s="8">
        <v>1.1000000000000001</v>
      </c>
      <c r="E25" s="8">
        <v>2.1</v>
      </c>
      <c r="F25" s="16">
        <v>1.8687</v>
      </c>
      <c r="G25" s="37">
        <f t="shared" si="24"/>
        <v>5280</v>
      </c>
      <c r="H25" s="8">
        <v>2</v>
      </c>
      <c r="I25" s="8">
        <v>10</v>
      </c>
      <c r="M25" s="8">
        <v>1</v>
      </c>
      <c r="N25" s="8">
        <v>36</v>
      </c>
      <c r="O25" s="37">
        <v>22</v>
      </c>
      <c r="P25" s="8">
        <v>2</v>
      </c>
      <c r="Q25" s="15">
        <f t="shared" si="25"/>
        <v>13924.6062</v>
      </c>
      <c r="R25" s="15">
        <f t="shared" si="26"/>
        <v>13924.6062</v>
      </c>
      <c r="U25" s="15">
        <f t="shared" si="27"/>
        <v>13924.6062</v>
      </c>
      <c r="V25" s="15">
        <f t="shared" si="28"/>
        <v>50589.456866333334</v>
      </c>
      <c r="W25" s="17">
        <v>0.35110000000000002</v>
      </c>
      <c r="Y25" s="18">
        <v>3143</v>
      </c>
      <c r="Z25" s="18">
        <v>4626</v>
      </c>
      <c r="AB25" s="18">
        <f t="shared" si="29"/>
        <v>12376</v>
      </c>
      <c r="AC25" s="18">
        <f t="shared" si="30"/>
        <v>15483</v>
      </c>
      <c r="AD25" s="17">
        <f t="shared" si="31"/>
        <v>0.47184218899140951</v>
      </c>
      <c r="AE25" s="15" t="e">
        <f>#REF!</f>
        <v>#REF!</v>
      </c>
      <c r="AF25" s="15">
        <f t="shared" si="32"/>
        <v>50589.456866333334</v>
      </c>
      <c r="AG25" s="17">
        <v>0.35110000000000002</v>
      </c>
      <c r="AH25" s="15">
        <v>59771</v>
      </c>
      <c r="AI25" s="15">
        <v>79818</v>
      </c>
      <c r="AJ25" s="17">
        <f t="shared" si="33"/>
        <v>0.33539676431714377</v>
      </c>
      <c r="AK25" s="15">
        <v>901</v>
      </c>
      <c r="AL25" s="15">
        <v>700</v>
      </c>
      <c r="AM25" s="17">
        <f t="shared" si="34"/>
        <v>-0.22308546059933407</v>
      </c>
      <c r="AN25" s="15">
        <v>57906</v>
      </c>
      <c r="AO25" s="15">
        <v>78000</v>
      </c>
      <c r="AP25" s="17">
        <f t="shared" si="35"/>
        <v>0.34701067246917416</v>
      </c>
      <c r="AQ25" s="20" t="e">
        <f>AK25-#REF!</f>
        <v>#REF!</v>
      </c>
      <c r="AR25" s="20" t="e">
        <f>AL25-#REF!</f>
        <v>#REF!</v>
      </c>
      <c r="AS25" s="17" t="e">
        <f t="shared" si="36"/>
        <v>#REF!</v>
      </c>
      <c r="AT25" s="21">
        <v>132</v>
      </c>
      <c r="AU25" s="21">
        <v>132</v>
      </c>
    </row>
    <row r="26" spans="1:47" x14ac:dyDescent="0.35">
      <c r="A26" s="8" t="s">
        <v>53</v>
      </c>
      <c r="B26" s="36" t="s">
        <v>76</v>
      </c>
      <c r="C26" s="15">
        <v>22574.70399225318</v>
      </c>
      <c r="D26" s="8">
        <v>1.1000000000000001</v>
      </c>
      <c r="E26" s="8">
        <v>2.1</v>
      </c>
      <c r="F26" s="16">
        <v>1.7262500000000001</v>
      </c>
      <c r="G26" s="37">
        <f t="shared" si="24"/>
        <v>5280</v>
      </c>
      <c r="H26" s="8">
        <v>2</v>
      </c>
      <c r="I26" s="8">
        <v>10</v>
      </c>
      <c r="M26" s="8">
        <v>1</v>
      </c>
      <c r="N26" s="8">
        <v>36</v>
      </c>
      <c r="O26" s="37">
        <v>22</v>
      </c>
      <c r="P26" s="8">
        <v>2</v>
      </c>
      <c r="Q26" s="15">
        <f t="shared" si="25"/>
        <v>18183.71875</v>
      </c>
      <c r="R26" s="15">
        <f t="shared" si="26"/>
        <v>18183.71875</v>
      </c>
      <c r="U26" s="15">
        <f t="shared" si="27"/>
        <v>18183.71875</v>
      </c>
      <c r="V26" s="15">
        <f t="shared" si="28"/>
        <v>70809.119662000012</v>
      </c>
      <c r="W26" s="17">
        <v>0.23230000000000001</v>
      </c>
      <c r="Y26" s="18">
        <v>7440</v>
      </c>
      <c r="Z26" s="18">
        <v>7475</v>
      </c>
      <c r="AB26" s="18">
        <f t="shared" si="29"/>
        <v>24911</v>
      </c>
      <c r="AC26" s="18">
        <f t="shared" si="30"/>
        <v>22719</v>
      </c>
      <c r="AD26" s="17">
        <f t="shared" si="31"/>
        <v>4.7043010752688174E-3</v>
      </c>
      <c r="AE26" s="15" t="e">
        <f>#REF!</f>
        <v>#REF!</v>
      </c>
      <c r="AF26" s="15">
        <f t="shared" si="32"/>
        <v>163635.56864866667</v>
      </c>
      <c r="AG26" s="17">
        <v>0.4516</v>
      </c>
      <c r="AH26" s="15">
        <v>132774</v>
      </c>
      <c r="AI26" s="15">
        <v>149010</v>
      </c>
      <c r="AJ26" s="17">
        <f t="shared" si="33"/>
        <v>0.12228297708888788</v>
      </c>
      <c r="AK26" s="15">
        <v>139429</v>
      </c>
      <c r="AL26" s="15">
        <v>149010</v>
      </c>
      <c r="AM26" s="17">
        <f t="shared" si="34"/>
        <v>6.8715977307446802E-2</v>
      </c>
      <c r="AN26" s="15">
        <v>107806</v>
      </c>
      <c r="AO26" s="15">
        <v>116950</v>
      </c>
      <c r="AP26" s="17">
        <f t="shared" si="35"/>
        <v>8.4819026770309627E-2</v>
      </c>
      <c r="AQ26" s="20" t="e">
        <f>AK26-#REF!</f>
        <v>#REF!</v>
      </c>
      <c r="AR26" s="20" t="e">
        <f>AL26-#REF!</f>
        <v>#REF!</v>
      </c>
      <c r="AS26" s="17" t="e">
        <f t="shared" si="36"/>
        <v>#REF!</v>
      </c>
      <c r="AT26" s="21">
        <v>108</v>
      </c>
      <c r="AU26" s="21">
        <v>108</v>
      </c>
    </row>
    <row r="27" spans="1:47" x14ac:dyDescent="0.35">
      <c r="A27" s="8" t="s">
        <v>55</v>
      </c>
      <c r="B27" s="36" t="s">
        <v>69</v>
      </c>
      <c r="C27" s="15">
        <v>35994.450116926317</v>
      </c>
      <c r="D27" s="8">
        <v>1.1000000000000001</v>
      </c>
      <c r="E27" s="8">
        <v>2.1</v>
      </c>
      <c r="F27" s="16">
        <v>1.3949499999999999</v>
      </c>
      <c r="G27" s="37">
        <f t="shared" si="24"/>
        <v>5280</v>
      </c>
      <c r="H27" s="8">
        <v>2</v>
      </c>
      <c r="I27" s="8">
        <v>10</v>
      </c>
      <c r="M27" s="8">
        <v>1</v>
      </c>
      <c r="N27" s="8">
        <v>36</v>
      </c>
      <c r="O27" s="37">
        <v>22</v>
      </c>
      <c r="P27" s="8">
        <v>2</v>
      </c>
      <c r="Q27" s="15">
        <f t="shared" si="25"/>
        <v>24950.18995</v>
      </c>
      <c r="R27" s="15">
        <f t="shared" si="26"/>
        <v>24950.18995</v>
      </c>
      <c r="U27" s="15">
        <f t="shared" si="27"/>
        <v>24950.18995</v>
      </c>
      <c r="V27" s="15">
        <f t="shared" si="28"/>
        <v>161852.25314859784</v>
      </c>
      <c r="W27" s="17">
        <v>0.1071</v>
      </c>
      <c r="Y27" s="18">
        <v>13682</v>
      </c>
      <c r="Z27" s="18">
        <v>14101</v>
      </c>
      <c r="AB27" s="18">
        <f t="shared" si="29"/>
        <v>64648</v>
      </c>
      <c r="AC27" s="18">
        <f t="shared" si="30"/>
        <v>60722</v>
      </c>
      <c r="AD27" s="17">
        <f t="shared" si="31"/>
        <v>3.0624177751790674E-2</v>
      </c>
      <c r="AE27" s="15">
        <f>AE16</f>
        <v>-387</v>
      </c>
      <c r="AF27" s="15">
        <f t="shared" si="32"/>
        <v>344898.9793152645</v>
      </c>
      <c r="AG27" s="17">
        <v>4.8000000000000001E-2</v>
      </c>
      <c r="AH27" s="15">
        <v>313138</v>
      </c>
      <c r="AI27" s="15">
        <v>330159</v>
      </c>
      <c r="AJ27" s="17">
        <f t="shared" si="33"/>
        <v>5.4356226328328087E-2</v>
      </c>
      <c r="AK27" s="15">
        <v>301642</v>
      </c>
      <c r="AL27" s="15">
        <v>293859</v>
      </c>
      <c r="AM27" s="17">
        <f t="shared" si="34"/>
        <v>-2.5802109785772537E-2</v>
      </c>
      <c r="AN27" s="15">
        <v>255189</v>
      </c>
      <c r="AO27" s="15">
        <v>251217</v>
      </c>
      <c r="AP27" s="17">
        <f t="shared" si="35"/>
        <v>-1.5564934225221306E-2</v>
      </c>
      <c r="AQ27" s="20" t="e">
        <f>AK27-#REF!</f>
        <v>#REF!</v>
      </c>
      <c r="AR27" s="20" t="e">
        <f>AL27-#REF!</f>
        <v>#REF!</v>
      </c>
      <c r="AS27" s="17" t="e">
        <f t="shared" si="36"/>
        <v>#REF!</v>
      </c>
      <c r="AT27" s="21">
        <v>71</v>
      </c>
      <c r="AU27" s="21">
        <v>127</v>
      </c>
    </row>
    <row r="28" spans="1:47" x14ac:dyDescent="0.35">
      <c r="A28" s="8" t="s">
        <v>55</v>
      </c>
      <c r="B28" s="36" t="s">
        <v>70</v>
      </c>
      <c r="C28" s="15">
        <v>3374.1613133476089</v>
      </c>
      <c r="D28" s="8">
        <v>1.1000000000000001</v>
      </c>
      <c r="E28" s="8">
        <v>2.1</v>
      </c>
      <c r="F28" s="16">
        <v>1.9366000000000001</v>
      </c>
      <c r="G28" s="37">
        <f t="shared" si="24"/>
        <v>5280</v>
      </c>
      <c r="H28" s="8">
        <v>2</v>
      </c>
      <c r="I28" s="8">
        <v>10</v>
      </c>
      <c r="M28" s="8">
        <v>1</v>
      </c>
      <c r="N28" s="8">
        <v>36</v>
      </c>
      <c r="O28" s="37">
        <v>22</v>
      </c>
      <c r="P28" s="8">
        <v>2</v>
      </c>
      <c r="Q28" s="15">
        <f t="shared" si="25"/>
        <v>11608.808800000001</v>
      </c>
      <c r="R28" s="15">
        <f t="shared" si="26"/>
        <v>3374.1613133476089</v>
      </c>
      <c r="U28" s="15">
        <f t="shared" si="27"/>
        <v>3374.1613133476089</v>
      </c>
      <c r="V28" s="15">
        <f t="shared" si="28"/>
        <v>52200</v>
      </c>
      <c r="W28" s="17">
        <v>4.19E-2</v>
      </c>
      <c r="Y28" s="18">
        <v>3286</v>
      </c>
      <c r="Z28" s="18">
        <v>3268</v>
      </c>
      <c r="AB28" s="18">
        <f t="shared" si="29"/>
        <v>52901</v>
      </c>
      <c r="AC28" s="18">
        <f t="shared" si="30"/>
        <v>60243</v>
      </c>
      <c r="AD28" s="17">
        <f t="shared" si="31"/>
        <v>-5.4777845404747416E-3</v>
      </c>
      <c r="AE28" s="15">
        <f>AE17</f>
        <v>2987</v>
      </c>
      <c r="AF28" s="15">
        <f t="shared" si="32"/>
        <v>344898.9793152645</v>
      </c>
      <c r="AG28" s="17">
        <v>4.8000000000000001E-2</v>
      </c>
      <c r="AH28" s="15">
        <v>172368</v>
      </c>
      <c r="AI28" s="15">
        <v>176000</v>
      </c>
      <c r="AJ28" s="17">
        <f t="shared" si="33"/>
        <v>2.1071196509793E-2</v>
      </c>
      <c r="AK28" s="15">
        <v>175355</v>
      </c>
      <c r="AL28" s="15">
        <v>176000</v>
      </c>
      <c r="AM28" s="17">
        <f t="shared" si="34"/>
        <v>3.6782526874055486E-3</v>
      </c>
      <c r="AN28" s="15">
        <v>98317</v>
      </c>
      <c r="AO28" s="15">
        <v>101000</v>
      </c>
      <c r="AP28" s="17">
        <f t="shared" si="35"/>
        <v>2.7289278558133383E-2</v>
      </c>
      <c r="AQ28" s="20" t="e">
        <f>AK28-#REF!</f>
        <v>#REF!</v>
      </c>
      <c r="AR28" s="20" t="e">
        <f>AL28-#REF!</f>
        <v>#REF!</v>
      </c>
      <c r="AS28" s="17" t="e">
        <f t="shared" si="36"/>
        <v>#REF!</v>
      </c>
      <c r="AT28" s="21">
        <v>92</v>
      </c>
      <c r="AU28" s="21">
        <v>134</v>
      </c>
    </row>
    <row r="29" spans="1:47" x14ac:dyDescent="0.35">
      <c r="A29" s="22" t="s">
        <v>60</v>
      </c>
      <c r="B29" s="22" t="s">
        <v>72</v>
      </c>
      <c r="C29" s="23">
        <v>206365.31149241631</v>
      </c>
      <c r="D29" s="23"/>
      <c r="E29" s="23"/>
      <c r="F29" s="23"/>
      <c r="G29" s="38"/>
      <c r="H29" s="22"/>
      <c r="I29" s="22"/>
      <c r="J29" s="22"/>
      <c r="K29" s="22"/>
      <c r="L29" s="22"/>
      <c r="M29" s="22"/>
      <c r="N29" s="22"/>
      <c r="O29" s="38"/>
      <c r="P29" s="22"/>
      <c r="Q29" s="23">
        <f>SUM(Q20:Q28)</f>
        <v>172225.63310000001</v>
      </c>
      <c r="R29" s="23">
        <f>SUM(R20:R28)</f>
        <v>160029.29084926954</v>
      </c>
      <c r="S29" s="23">
        <f>SUM(S20:S28)</f>
        <v>0</v>
      </c>
      <c r="T29" s="23"/>
      <c r="U29" s="23">
        <f>SUM(U20:U28)</f>
        <v>160029.29084926954</v>
      </c>
      <c r="V29" s="23">
        <f>SUM(V20:V28)</f>
        <v>998276.94422134035</v>
      </c>
      <c r="W29" s="24" t="e">
        <f>IF(#REF!&gt;0,(#REF!-#REF!)/#REF!,"")</f>
        <v>#REF!</v>
      </c>
      <c r="X29" s="24"/>
      <c r="Y29" s="25">
        <f>SUM(Y20:Y28)</f>
        <v>80269</v>
      </c>
      <c r="Z29" s="25">
        <f>SUM(Z20:Z28)</f>
        <v>81658</v>
      </c>
      <c r="AA29" s="25"/>
      <c r="AB29" s="25">
        <f>SUM(AB20:AB28)</f>
        <v>473490</v>
      </c>
      <c r="AC29" s="25">
        <f>SUM(AC20:AC28)</f>
        <v>457330</v>
      </c>
      <c r="AD29" s="24">
        <f>IF(Y29&gt;0,(Z29-Y29)/Y29,"")</f>
        <v>1.7304314243356714E-2</v>
      </c>
      <c r="AE29" s="23" t="e">
        <f>SUM(AE20:AE28)</f>
        <v>#REF!</v>
      </c>
      <c r="AF29" s="23">
        <f>SUM(AF20:AF28)</f>
        <v>2194232.8670312716</v>
      </c>
      <c r="AG29" s="17">
        <v>4.8000000000000001E-2</v>
      </c>
      <c r="AH29" s="23">
        <f>SUM(AH20:AH28)</f>
        <v>2094989</v>
      </c>
      <c r="AI29" s="23">
        <f>SUM(AI20:AI28)</f>
        <v>2274774</v>
      </c>
      <c r="AJ29" s="24">
        <f t="shared" si="33"/>
        <v>8.5816679705716825E-2</v>
      </c>
      <c r="AK29" s="23">
        <f>SUM(AK20:AK28)</f>
        <v>2047880</v>
      </c>
      <c r="AL29" s="23">
        <f>SUM(AL20:AL28)</f>
        <v>2164696</v>
      </c>
      <c r="AM29" s="24">
        <f t="shared" si="34"/>
        <v>5.7042404828407917E-2</v>
      </c>
      <c r="AN29" s="23">
        <f>SUM(AN20:AN28)</f>
        <v>1658013</v>
      </c>
      <c r="AO29" s="23">
        <f>SUM(AO20:AO28)</f>
        <v>1784506</v>
      </c>
      <c r="AP29" s="24">
        <f t="shared" si="35"/>
        <v>7.6291922922196623E-2</v>
      </c>
      <c r="AQ29" s="20" t="e">
        <f>AK29-#REF!</f>
        <v>#REF!</v>
      </c>
      <c r="AR29" s="20" t="e">
        <f>AL29-#REF!</f>
        <v>#REF!</v>
      </c>
      <c r="AS29" s="24" t="e">
        <f t="shared" si="36"/>
        <v>#REF!</v>
      </c>
      <c r="AT29" s="26"/>
      <c r="AU29" s="21"/>
    </row>
    <row r="30" spans="1:47" x14ac:dyDescent="0.35">
      <c r="A30" s="9" t="s">
        <v>77</v>
      </c>
      <c r="B30" s="10"/>
      <c r="C30" s="11"/>
      <c r="D30" s="10"/>
      <c r="E30" s="10"/>
      <c r="F30" s="10"/>
      <c r="G30" s="35"/>
      <c r="H30" s="10"/>
      <c r="I30" s="10"/>
      <c r="J30" s="10"/>
      <c r="K30" s="10"/>
      <c r="L30" s="10"/>
      <c r="M30" s="10"/>
      <c r="N30" s="10"/>
      <c r="O30" s="35"/>
      <c r="P30" s="10"/>
      <c r="Q30" s="11"/>
      <c r="R30" s="39" t="e">
        <f>IF(ROUNDDOWN((R20-(#REF!*Y20/AB20))/(#REF!*Y20/AB20)*100,0)&gt;0,"+"&amp;ROUNDDOWN((R20-(#REF!*Y20/AB20))/(#REF!*Y20/AB20)*100,0)&amp;"% /2025",ROUNDDOWN((R20-(#REF!*Y20/AB20))/(#REF!*Y20/AB20)*100,0)&amp;"% /2025")</f>
        <v>#REF!</v>
      </c>
      <c r="S30" s="11"/>
      <c r="T30" s="11"/>
      <c r="U30" s="11"/>
      <c r="V30" s="11"/>
      <c r="W30" s="12"/>
      <c r="X30" s="12"/>
      <c r="Y30" s="13"/>
      <c r="Z30" s="13"/>
      <c r="AA30" s="13"/>
      <c r="AB30" s="13"/>
      <c r="AC30" s="13"/>
      <c r="AD30" s="12"/>
      <c r="AE30" s="11"/>
      <c r="AF30" s="11"/>
      <c r="AG30" s="12"/>
      <c r="AH30" s="11"/>
      <c r="AI30" s="11"/>
      <c r="AJ30" s="12"/>
      <c r="AK30" s="11"/>
      <c r="AL30" s="11"/>
      <c r="AM30" s="12"/>
      <c r="AN30" s="11"/>
      <c r="AO30" s="11"/>
      <c r="AP30" s="12"/>
      <c r="AQ30" s="12"/>
      <c r="AR30" s="12"/>
      <c r="AS30" s="12"/>
      <c r="AT30" s="14"/>
      <c r="AU30" s="21"/>
    </row>
    <row r="31" spans="1:47" x14ac:dyDescent="0.35">
      <c r="A31" s="8" t="s">
        <v>62</v>
      </c>
      <c r="B31" s="36" t="s">
        <v>63</v>
      </c>
      <c r="C31" s="15">
        <v>119750.4761424265</v>
      </c>
      <c r="D31" s="8">
        <v>1.42</v>
      </c>
      <c r="E31" s="8">
        <v>2.4</v>
      </c>
      <c r="F31" s="16">
        <v>1.570740333333333</v>
      </c>
      <c r="G31" s="37">
        <f t="shared" ref="G31:G40" si="37">(H31*I31*(J31+K31+L31+M31)*N31*O31)/(P31+1)</f>
        <v>9533.3333333333339</v>
      </c>
      <c r="H31" s="8">
        <v>2</v>
      </c>
      <c r="I31" s="8">
        <v>10</v>
      </c>
      <c r="M31" s="8">
        <v>5</v>
      </c>
      <c r="N31" s="8">
        <v>13</v>
      </c>
      <c r="O31" s="37">
        <v>22</v>
      </c>
      <c r="P31" s="8">
        <v>2</v>
      </c>
      <c r="Q31" s="15">
        <f t="shared" ref="Q31:Q40" si="38">IF(Z31&gt;0,G31+F31*Z31,0)</f>
        <v>89281.390796999971</v>
      </c>
      <c r="R31" s="15">
        <f t="shared" ref="R31:R40" si="39">IF(Q31&gt;C31,C31,Q31)</f>
        <v>89281.390796999971</v>
      </c>
      <c r="U31" s="15">
        <f t="shared" ref="U31:U40" si="40">R31+S31</f>
        <v>89281.390796999971</v>
      </c>
      <c r="V31" s="15">
        <f t="shared" ref="V31:V40" si="41">SUMIF(B:B,B31,U:U)</f>
        <v>141497.85460949998</v>
      </c>
      <c r="W31" s="17">
        <v>0.14549999999999999</v>
      </c>
      <c r="Y31" s="18">
        <v>53805</v>
      </c>
      <c r="Z31" s="18">
        <v>50771</v>
      </c>
      <c r="AB31" s="18">
        <f t="shared" ref="AB31:AB40" si="42">SUMIF($B$11:$B$40,$B31,Y$11:Y$40)</f>
        <v>82754</v>
      </c>
      <c r="AC31" s="18">
        <f t="shared" ref="AC31:AC40" si="43">SUMIF($B$11:$B$40,$B31,Z$11:Z$40)</f>
        <v>79283</v>
      </c>
      <c r="AD31" s="17">
        <f t="shared" ref="AD31:AD40" si="44">IF(AND(ISNUMBER(Y31), Y31&gt;0), (Z31-Y31)/Y31, "")</f>
        <v>-5.6388811448750117E-2</v>
      </c>
      <c r="AE31" s="15">
        <f>AE20</f>
        <v>49299</v>
      </c>
      <c r="AF31" s="15">
        <f t="shared" ref="AF31:AF40" si="45">SUMIF(A:A,A31,U:U)</f>
        <v>165097.85460949998</v>
      </c>
      <c r="AG31" s="17">
        <v>0.12939999999999999</v>
      </c>
      <c r="AH31" s="15">
        <v>360491</v>
      </c>
      <c r="AI31" s="15">
        <v>429324</v>
      </c>
      <c r="AJ31" s="17">
        <f t="shared" ref="AJ31:AJ41" si="46">(AI31-AH31)/AH31</f>
        <v>0.19094235362325274</v>
      </c>
      <c r="AK31" s="15">
        <v>413036</v>
      </c>
      <c r="AL31" s="15">
        <v>429324</v>
      </c>
      <c r="AM31" s="17">
        <f t="shared" ref="AM31:AM41" si="47">(AL31-AK31)/AK31</f>
        <v>3.9434819240937835E-2</v>
      </c>
      <c r="AN31" s="15">
        <v>319297</v>
      </c>
      <c r="AO31" s="15">
        <v>367000</v>
      </c>
      <c r="AP31" s="17">
        <f t="shared" ref="AP31:AP41" si="48">(AO31-AN31)/AN31</f>
        <v>0.14940008831902585</v>
      </c>
      <c r="AQ31" s="20" t="e">
        <f>AK31-#REF!</f>
        <v>#REF!</v>
      </c>
      <c r="AR31" s="20" t="e">
        <f>AL31-#REF!</f>
        <v>#REF!</v>
      </c>
      <c r="AS31" s="17" t="e">
        <f t="shared" ref="AS31:AS41" si="49">(AR31-AQ31)/AQ31</f>
        <v>#REF!</v>
      </c>
      <c r="AT31" s="21">
        <v>166</v>
      </c>
      <c r="AU31" s="21">
        <v>166</v>
      </c>
    </row>
    <row r="32" spans="1:47" x14ac:dyDescent="0.35">
      <c r="A32" s="8" t="s">
        <v>48</v>
      </c>
      <c r="B32" s="36" t="s">
        <v>64</v>
      </c>
      <c r="C32" s="15">
        <v>55928.835631094669</v>
      </c>
      <c r="D32" s="8">
        <v>1.42</v>
      </c>
      <c r="E32" s="8">
        <v>2.4</v>
      </c>
      <c r="F32" s="16">
        <v>2.0264566666666668</v>
      </c>
      <c r="G32" s="37">
        <f t="shared" si="37"/>
        <v>9533.3333333333339</v>
      </c>
      <c r="H32" s="8">
        <v>2</v>
      </c>
      <c r="I32" s="8">
        <v>10</v>
      </c>
      <c r="M32" s="8">
        <v>5</v>
      </c>
      <c r="N32" s="8">
        <v>13</v>
      </c>
      <c r="O32" s="37">
        <v>22</v>
      </c>
      <c r="P32" s="8">
        <v>2</v>
      </c>
      <c r="Q32" s="15">
        <f t="shared" si="38"/>
        <v>55878.397300000004</v>
      </c>
      <c r="R32" s="15">
        <f t="shared" si="39"/>
        <v>55878.397300000004</v>
      </c>
      <c r="U32" s="15">
        <f t="shared" si="40"/>
        <v>55878.397300000004</v>
      </c>
      <c r="V32" s="15">
        <f t="shared" si="41"/>
        <v>81347.748532242535</v>
      </c>
      <c r="W32" s="17">
        <v>1.7899999999999999E-2</v>
      </c>
      <c r="Y32" s="18">
        <v>25300</v>
      </c>
      <c r="Z32" s="18">
        <v>22870</v>
      </c>
      <c r="AB32" s="18">
        <f t="shared" si="42"/>
        <v>34603</v>
      </c>
      <c r="AC32" s="18">
        <f t="shared" si="43"/>
        <v>32713</v>
      </c>
      <c r="AD32" s="17">
        <f t="shared" si="44"/>
        <v>-9.6047430830039526E-2</v>
      </c>
      <c r="AE32" s="15">
        <f>AE21</f>
        <v>8500</v>
      </c>
      <c r="AF32" s="15">
        <f t="shared" si="45"/>
        <v>174647.74853224255</v>
      </c>
      <c r="AG32" s="17">
        <v>6.0199999999999997E-2</v>
      </c>
      <c r="AH32" s="15">
        <v>193719</v>
      </c>
      <c r="AI32" s="15">
        <v>184266</v>
      </c>
      <c r="AJ32" s="17">
        <f t="shared" si="46"/>
        <v>-4.8797485016957555E-2</v>
      </c>
      <c r="AK32" s="15">
        <v>186709</v>
      </c>
      <c r="AL32" s="15">
        <v>189195</v>
      </c>
      <c r="AM32" s="17">
        <f t="shared" si="47"/>
        <v>1.3314837527917775E-2</v>
      </c>
      <c r="AN32" s="15">
        <v>151287</v>
      </c>
      <c r="AO32" s="15">
        <v>140985</v>
      </c>
      <c r="AP32" s="17">
        <f t="shared" si="48"/>
        <v>-6.8095738563128352E-2</v>
      </c>
      <c r="AQ32" s="20" t="e">
        <f>AK32-#REF!</f>
        <v>#REF!</v>
      </c>
      <c r="AR32" s="20" t="e">
        <f>AL32-#REF!</f>
        <v>#REF!</v>
      </c>
      <c r="AS32" s="17" t="e">
        <f t="shared" si="49"/>
        <v>#REF!</v>
      </c>
      <c r="AT32" s="21">
        <v>80</v>
      </c>
      <c r="AU32" s="21">
        <v>83</v>
      </c>
    </row>
    <row r="33" spans="1:47" x14ac:dyDescent="0.35">
      <c r="A33" s="8" t="s">
        <v>58</v>
      </c>
      <c r="B33" s="36" t="s">
        <v>59</v>
      </c>
      <c r="C33" s="15">
        <v>57584.464271692188</v>
      </c>
      <c r="D33" s="8">
        <v>1.42</v>
      </c>
      <c r="E33" s="8">
        <v>2.4</v>
      </c>
      <c r="F33" s="16">
        <v>2.1494303333333331</v>
      </c>
      <c r="G33" s="37">
        <f t="shared" si="37"/>
        <v>9533.3333333333339</v>
      </c>
      <c r="H33" s="8">
        <v>2</v>
      </c>
      <c r="I33" s="8">
        <v>10</v>
      </c>
      <c r="M33" s="8">
        <v>5</v>
      </c>
      <c r="N33" s="8">
        <v>13</v>
      </c>
      <c r="O33" s="37">
        <v>22</v>
      </c>
      <c r="P33" s="8">
        <v>2</v>
      </c>
      <c r="Q33" s="15">
        <f t="shared" si="38"/>
        <v>42507.744076999996</v>
      </c>
      <c r="R33" s="15">
        <f t="shared" si="39"/>
        <v>42507.744076999996</v>
      </c>
      <c r="U33" s="15">
        <f t="shared" si="40"/>
        <v>42507.744076999996</v>
      </c>
      <c r="V33" s="15">
        <f t="shared" si="41"/>
        <v>151181.255489</v>
      </c>
      <c r="W33" s="17">
        <v>0.20630000000000001</v>
      </c>
      <c r="Y33" s="18">
        <v>18120</v>
      </c>
      <c r="Z33" s="18">
        <v>15341</v>
      </c>
      <c r="AB33" s="18">
        <f t="shared" si="42"/>
        <v>35104</v>
      </c>
      <c r="AC33" s="18">
        <f t="shared" si="43"/>
        <v>30564</v>
      </c>
      <c r="AD33" s="17">
        <f t="shared" si="44"/>
        <v>-0.15336644591611479</v>
      </c>
      <c r="AE33" s="15">
        <f>AE22</f>
        <v>-18107</v>
      </c>
      <c r="AF33" s="15">
        <f t="shared" si="45"/>
        <v>151181.255489</v>
      </c>
      <c r="AG33" s="17">
        <v>0.2833</v>
      </c>
      <c r="AH33" s="15">
        <v>219795</v>
      </c>
      <c r="AI33" s="15">
        <v>210679</v>
      </c>
      <c r="AJ33" s="17">
        <f t="shared" si="46"/>
        <v>-4.1475010805523328E-2</v>
      </c>
      <c r="AK33" s="15">
        <v>201688</v>
      </c>
      <c r="AL33" s="15">
        <v>210679</v>
      </c>
      <c r="AM33" s="17">
        <f t="shared" si="47"/>
        <v>4.4578755305223913E-2</v>
      </c>
      <c r="AN33" s="15">
        <v>171379</v>
      </c>
      <c r="AO33" s="15">
        <v>167441</v>
      </c>
      <c r="AP33" s="17">
        <f t="shared" si="48"/>
        <v>-2.2978311228330193E-2</v>
      </c>
      <c r="AQ33" s="20" t="e">
        <f>AK33-#REF!</f>
        <v>#REF!</v>
      </c>
      <c r="AR33" s="20" t="e">
        <f>AL33-#REF!</f>
        <v>#REF!</v>
      </c>
      <c r="AS33" s="17" t="e">
        <f t="shared" si="49"/>
        <v>#REF!</v>
      </c>
      <c r="AT33" s="21">
        <v>62</v>
      </c>
      <c r="AU33" s="21">
        <v>74</v>
      </c>
    </row>
    <row r="34" spans="1:47" x14ac:dyDescent="0.35">
      <c r="A34" s="8" t="s">
        <v>65</v>
      </c>
      <c r="B34" s="36" t="s">
        <v>66</v>
      </c>
      <c r="C34" s="15">
        <v>60334.905559636143</v>
      </c>
      <c r="D34" s="8">
        <v>1.42</v>
      </c>
      <c r="E34" s="8">
        <v>2.4</v>
      </c>
      <c r="F34" s="16">
        <v>2.1422763333333328</v>
      </c>
      <c r="G34" s="37">
        <f t="shared" si="37"/>
        <v>9533.3333333333339</v>
      </c>
      <c r="H34" s="8">
        <v>2</v>
      </c>
      <c r="I34" s="8">
        <v>10</v>
      </c>
      <c r="M34" s="8">
        <v>5</v>
      </c>
      <c r="N34" s="8">
        <v>13</v>
      </c>
      <c r="O34" s="37">
        <v>22</v>
      </c>
      <c r="P34" s="8">
        <v>2</v>
      </c>
      <c r="Q34" s="15">
        <f t="shared" si="38"/>
        <v>43336.311596999993</v>
      </c>
      <c r="R34" s="15">
        <f t="shared" si="39"/>
        <v>43336.311596999993</v>
      </c>
      <c r="U34" s="15">
        <f t="shared" si="40"/>
        <v>43336.311596999993</v>
      </c>
      <c r="V34" s="15">
        <f t="shared" si="41"/>
        <v>110799.25591366665</v>
      </c>
      <c r="W34" s="17">
        <v>0.31969999999999998</v>
      </c>
      <c r="Y34" s="18">
        <v>17488</v>
      </c>
      <c r="Z34" s="18">
        <v>15779</v>
      </c>
      <c r="AB34" s="18">
        <f t="shared" si="42"/>
        <v>36945</v>
      </c>
      <c r="AC34" s="18">
        <f t="shared" si="43"/>
        <v>35398</v>
      </c>
      <c r="AD34" s="17">
        <f t="shared" si="44"/>
        <v>-9.7724153705397984E-2</v>
      </c>
      <c r="AE34" s="15">
        <f>AE23</f>
        <v>-8000</v>
      </c>
      <c r="AF34" s="15">
        <f t="shared" si="45"/>
        <v>110799.25591366665</v>
      </c>
      <c r="AG34" s="17">
        <v>0.315</v>
      </c>
      <c r="AH34" s="15">
        <v>205403</v>
      </c>
      <c r="AI34" s="15">
        <v>232844</v>
      </c>
      <c r="AJ34" s="17">
        <f t="shared" si="46"/>
        <v>0.1335959065836429</v>
      </c>
      <c r="AK34" s="15">
        <v>197275</v>
      </c>
      <c r="AL34" s="15">
        <v>232594</v>
      </c>
      <c r="AM34" s="17">
        <f t="shared" si="47"/>
        <v>0.17903434292231657</v>
      </c>
      <c r="AN34" s="15">
        <v>153394</v>
      </c>
      <c r="AO34" s="15">
        <v>178453</v>
      </c>
      <c r="AP34" s="17">
        <f t="shared" si="48"/>
        <v>0.16336362569592031</v>
      </c>
      <c r="AQ34" s="20" t="e">
        <f>AK34-#REF!</f>
        <v>#REF!</v>
      </c>
      <c r="AR34" s="20" t="e">
        <f>AL34-#REF!</f>
        <v>#REF!</v>
      </c>
      <c r="AS34" s="17" t="e">
        <f t="shared" si="49"/>
        <v>#REF!</v>
      </c>
      <c r="AT34" s="21">
        <v>94</v>
      </c>
      <c r="AU34" s="21">
        <v>94</v>
      </c>
    </row>
    <row r="35" spans="1:47" x14ac:dyDescent="0.35">
      <c r="A35" s="8" t="s">
        <v>50</v>
      </c>
      <c r="B35" s="36" t="s">
        <v>68</v>
      </c>
      <c r="C35" s="15">
        <v>51912.53275654091</v>
      </c>
      <c r="D35" s="8">
        <v>1.42</v>
      </c>
      <c r="E35" s="8">
        <v>2.4</v>
      </c>
      <c r="F35" s="16">
        <v>1.8274023333333329</v>
      </c>
      <c r="G35" s="37">
        <f t="shared" si="37"/>
        <v>9533.3333333333339</v>
      </c>
      <c r="H35" s="8">
        <v>2</v>
      </c>
      <c r="I35" s="8">
        <v>10</v>
      </c>
      <c r="M35" s="8">
        <v>5</v>
      </c>
      <c r="N35" s="8">
        <v>13</v>
      </c>
      <c r="O35" s="37">
        <v>22</v>
      </c>
      <c r="P35" s="8">
        <v>2</v>
      </c>
      <c r="Q35" s="15">
        <f t="shared" si="38"/>
        <v>73596.576932999989</v>
      </c>
      <c r="R35" s="15">
        <f t="shared" si="39"/>
        <v>51912.53275654091</v>
      </c>
      <c r="U35" s="15">
        <f t="shared" si="40"/>
        <v>51912.53275654091</v>
      </c>
      <c r="V35" s="15">
        <f t="shared" si="41"/>
        <v>177999.99999999997</v>
      </c>
      <c r="W35" s="17">
        <v>0.1711</v>
      </c>
      <c r="Y35" s="18">
        <v>40350</v>
      </c>
      <c r="Z35" s="18">
        <v>35057</v>
      </c>
      <c r="AB35" s="18">
        <f t="shared" si="42"/>
        <v>129248</v>
      </c>
      <c r="AC35" s="18">
        <f t="shared" si="43"/>
        <v>120205</v>
      </c>
      <c r="AD35" s="17">
        <f t="shared" si="44"/>
        <v>-0.13117719950433704</v>
      </c>
      <c r="AE35" s="15">
        <f>AE24</f>
        <v>-5685</v>
      </c>
      <c r="AF35" s="15">
        <f t="shared" si="45"/>
        <v>688483.76834133326</v>
      </c>
      <c r="AG35" s="17">
        <v>0.1951</v>
      </c>
      <c r="AH35" s="15">
        <v>437530</v>
      </c>
      <c r="AI35" s="15">
        <v>482674</v>
      </c>
      <c r="AJ35" s="17">
        <f t="shared" si="46"/>
        <v>0.10317921056841817</v>
      </c>
      <c r="AK35" s="15">
        <v>431845</v>
      </c>
      <c r="AL35" s="15">
        <v>483335</v>
      </c>
      <c r="AM35" s="17">
        <f t="shared" si="47"/>
        <v>0.11923259502830877</v>
      </c>
      <c r="AN35" s="15">
        <v>343438</v>
      </c>
      <c r="AO35" s="15">
        <v>383460</v>
      </c>
      <c r="AP35" s="17">
        <f t="shared" si="48"/>
        <v>0.11653340632079152</v>
      </c>
      <c r="AQ35" s="20" t="e">
        <f>AK35-#REF!</f>
        <v>#REF!</v>
      </c>
      <c r="AR35" s="20" t="e">
        <f>AL35-#REF!</f>
        <v>#REF!</v>
      </c>
      <c r="AS35" s="17" t="e">
        <f t="shared" si="49"/>
        <v>#REF!</v>
      </c>
      <c r="AT35" s="21">
        <v>148</v>
      </c>
      <c r="AU35" s="21">
        <v>182</v>
      </c>
    </row>
    <row r="36" spans="1:47" x14ac:dyDescent="0.35">
      <c r="A36" s="8" t="s">
        <v>50</v>
      </c>
      <c r="B36" s="36" t="s">
        <v>78</v>
      </c>
      <c r="C36" s="15">
        <v>59200</v>
      </c>
      <c r="D36" s="8">
        <v>1.42</v>
      </c>
      <c r="E36" s="8">
        <v>2.4</v>
      </c>
      <c r="F36" s="16">
        <v>2.188940666666666</v>
      </c>
      <c r="G36" s="37">
        <f t="shared" si="37"/>
        <v>9533.3333333333339</v>
      </c>
      <c r="H36" s="8">
        <v>2</v>
      </c>
      <c r="I36" s="8">
        <v>10</v>
      </c>
      <c r="M36" s="8">
        <v>5</v>
      </c>
      <c r="N36" s="8">
        <v>13</v>
      </c>
      <c r="O36" s="37">
        <v>22</v>
      </c>
      <c r="P36" s="8">
        <v>2</v>
      </c>
      <c r="Q36" s="15">
        <f t="shared" si="38"/>
        <v>37818.824627999995</v>
      </c>
      <c r="R36" s="15">
        <f t="shared" si="39"/>
        <v>37818.824627999995</v>
      </c>
      <c r="S36" s="15">
        <v>12000</v>
      </c>
      <c r="T36" s="15" t="s">
        <v>79</v>
      </c>
      <c r="U36" s="15">
        <f t="shared" si="40"/>
        <v>49818.824627999995</v>
      </c>
      <c r="V36" s="15">
        <f t="shared" si="41"/>
        <v>49818.824627999995</v>
      </c>
      <c r="W36" s="17">
        <v>0.20960000000000001</v>
      </c>
      <c r="Y36" s="18">
        <v>14000</v>
      </c>
      <c r="Z36" s="18">
        <v>12922</v>
      </c>
      <c r="AB36" s="18">
        <f t="shared" si="42"/>
        <v>14000</v>
      </c>
      <c r="AC36" s="18">
        <f t="shared" si="43"/>
        <v>12922</v>
      </c>
      <c r="AD36" s="17">
        <f t="shared" si="44"/>
        <v>-7.6999999999999999E-2</v>
      </c>
      <c r="AE36" s="15" t="e">
        <f>#REF!</f>
        <v>#REF!</v>
      </c>
      <c r="AF36" s="15">
        <f t="shared" si="45"/>
        <v>688483.76834133326</v>
      </c>
      <c r="AG36" s="17">
        <v>0.1951</v>
      </c>
      <c r="AH36" s="15">
        <v>85510</v>
      </c>
      <c r="AI36" s="15">
        <v>93250</v>
      </c>
      <c r="AJ36" s="17">
        <f t="shared" si="46"/>
        <v>9.0515729154484859E-2</v>
      </c>
      <c r="AK36" s="15">
        <v>83098</v>
      </c>
      <c r="AL36" s="15">
        <v>93250</v>
      </c>
      <c r="AM36" s="17">
        <f t="shared" si="47"/>
        <v>0.12216900527088498</v>
      </c>
      <c r="AN36" s="15">
        <v>56662</v>
      </c>
      <c r="AO36" s="15">
        <v>59720</v>
      </c>
      <c r="AP36" s="17">
        <f t="shared" si="48"/>
        <v>5.3969150400621231E-2</v>
      </c>
      <c r="AQ36" s="20" t="e">
        <f>AK36-#REF!</f>
        <v>#REF!</v>
      </c>
      <c r="AR36" s="20" t="e">
        <f>AL36-#REF!</f>
        <v>#REF!</v>
      </c>
      <c r="AS36" s="17" t="e">
        <f t="shared" si="49"/>
        <v>#REF!</v>
      </c>
    </row>
    <row r="37" spans="1:47" x14ac:dyDescent="0.35">
      <c r="A37" s="8" t="s">
        <v>74</v>
      </c>
      <c r="B37" s="36" t="s">
        <v>75</v>
      </c>
      <c r="C37" s="15">
        <v>37164.696764192988</v>
      </c>
      <c r="D37" s="8">
        <v>1.42</v>
      </c>
      <c r="E37" s="8">
        <v>2.4</v>
      </c>
      <c r="F37" s="16">
        <v>2.2226689999999998</v>
      </c>
      <c r="G37" s="37">
        <f t="shared" si="37"/>
        <v>9533.3333333333339</v>
      </c>
      <c r="H37" s="8">
        <v>2</v>
      </c>
      <c r="I37" s="8">
        <v>10</v>
      </c>
      <c r="M37" s="8">
        <v>5</v>
      </c>
      <c r="N37" s="8">
        <v>13</v>
      </c>
      <c r="O37" s="37">
        <v>22</v>
      </c>
      <c r="P37" s="8">
        <v>2</v>
      </c>
      <c r="Q37" s="15">
        <f t="shared" si="38"/>
        <v>33664.850666333332</v>
      </c>
      <c r="R37" s="15">
        <f t="shared" si="39"/>
        <v>33664.850666333332</v>
      </c>
      <c r="S37" s="15">
        <v>3000</v>
      </c>
      <c r="T37" s="15" t="s">
        <v>80</v>
      </c>
      <c r="U37" s="15">
        <f t="shared" si="40"/>
        <v>36664.850666333332</v>
      </c>
      <c r="V37" s="15">
        <f t="shared" si="41"/>
        <v>50589.456866333334</v>
      </c>
      <c r="W37" s="17">
        <v>0.35110000000000002</v>
      </c>
      <c r="Y37" s="18">
        <v>9233</v>
      </c>
      <c r="Z37" s="18">
        <v>10857</v>
      </c>
      <c r="AB37" s="18">
        <f t="shared" si="42"/>
        <v>12376</v>
      </c>
      <c r="AC37" s="18">
        <f t="shared" si="43"/>
        <v>15483</v>
      </c>
      <c r="AD37" s="17">
        <f t="shared" si="44"/>
        <v>0.17589082638362397</v>
      </c>
      <c r="AE37" s="15" t="e">
        <f>AE25</f>
        <v>#REF!</v>
      </c>
      <c r="AF37" s="15">
        <f t="shared" si="45"/>
        <v>50589.456866333334</v>
      </c>
      <c r="AG37" s="17">
        <v>0.35110000000000002</v>
      </c>
      <c r="AH37" s="15">
        <v>59771</v>
      </c>
      <c r="AI37" s="15">
        <v>79818</v>
      </c>
      <c r="AJ37" s="17">
        <f t="shared" si="46"/>
        <v>0.33539676431714377</v>
      </c>
      <c r="AK37" s="15">
        <v>901</v>
      </c>
      <c r="AL37" s="15">
        <v>700</v>
      </c>
      <c r="AM37" s="17">
        <f t="shared" si="47"/>
        <v>-0.22308546059933407</v>
      </c>
      <c r="AN37" s="15">
        <v>57906</v>
      </c>
      <c r="AO37" s="15">
        <v>78000</v>
      </c>
      <c r="AP37" s="17">
        <f t="shared" si="48"/>
        <v>0.34701067246917416</v>
      </c>
      <c r="AQ37" s="20" t="e">
        <f>AK37-#REF!</f>
        <v>#REF!</v>
      </c>
      <c r="AR37" s="20" t="e">
        <f>AL37-#REF!</f>
        <v>#REF!</v>
      </c>
      <c r="AS37" s="17" t="e">
        <f t="shared" si="49"/>
        <v>#REF!</v>
      </c>
      <c r="AT37" s="21">
        <v>132</v>
      </c>
      <c r="AU37" s="21">
        <v>132</v>
      </c>
    </row>
    <row r="38" spans="1:47" x14ac:dyDescent="0.35">
      <c r="A38" s="8" t="s">
        <v>53</v>
      </c>
      <c r="B38" s="36" t="s">
        <v>76</v>
      </c>
      <c r="C38" s="15">
        <v>46037.296007746823</v>
      </c>
      <c r="D38" s="8">
        <v>1.42</v>
      </c>
      <c r="E38" s="8">
        <v>2.4</v>
      </c>
      <c r="F38" s="16">
        <v>2.1510146666666672</v>
      </c>
      <c r="G38" s="37">
        <f t="shared" si="37"/>
        <v>9533.3333333333339</v>
      </c>
      <c r="H38" s="8">
        <v>2</v>
      </c>
      <c r="I38" s="8">
        <v>10</v>
      </c>
      <c r="M38" s="8">
        <v>5</v>
      </c>
      <c r="N38" s="8">
        <v>13</v>
      </c>
      <c r="O38" s="37">
        <v>22</v>
      </c>
      <c r="P38" s="8">
        <v>2</v>
      </c>
      <c r="Q38" s="15">
        <f t="shared" si="38"/>
        <v>42323.400912000012</v>
      </c>
      <c r="R38" s="15">
        <f t="shared" si="39"/>
        <v>42323.400912000012</v>
      </c>
      <c r="U38" s="15">
        <f t="shared" si="40"/>
        <v>42323.400912000012</v>
      </c>
      <c r="V38" s="15">
        <f t="shared" si="41"/>
        <v>70809.119662000012</v>
      </c>
      <c r="W38" s="17">
        <v>0.23230000000000001</v>
      </c>
      <c r="Y38" s="18">
        <v>17471</v>
      </c>
      <c r="Z38" s="18">
        <v>15244</v>
      </c>
      <c r="AB38" s="18">
        <f t="shared" si="42"/>
        <v>24911</v>
      </c>
      <c r="AC38" s="18">
        <f t="shared" si="43"/>
        <v>22719</v>
      </c>
      <c r="AD38" s="17">
        <f t="shared" si="44"/>
        <v>-0.12746837616621831</v>
      </c>
      <c r="AE38" s="15" t="e">
        <f>AE26</f>
        <v>#REF!</v>
      </c>
      <c r="AF38" s="15">
        <f t="shared" si="45"/>
        <v>163635.56864866667</v>
      </c>
      <c r="AG38" s="17">
        <v>0.4516</v>
      </c>
      <c r="AH38" s="15">
        <v>132774</v>
      </c>
      <c r="AI38" s="15">
        <v>149010</v>
      </c>
      <c r="AJ38" s="17">
        <f t="shared" si="46"/>
        <v>0.12228297708888788</v>
      </c>
      <c r="AK38" s="15">
        <v>139429</v>
      </c>
      <c r="AL38" s="15">
        <v>149010</v>
      </c>
      <c r="AM38" s="17">
        <f t="shared" si="47"/>
        <v>6.8715977307446802E-2</v>
      </c>
      <c r="AN38" s="15">
        <v>107806</v>
      </c>
      <c r="AO38" s="15">
        <v>116950</v>
      </c>
      <c r="AP38" s="17">
        <f t="shared" si="48"/>
        <v>8.4819026770309627E-2</v>
      </c>
      <c r="AQ38" s="20" t="e">
        <f>AK38-#REF!</f>
        <v>#REF!</v>
      </c>
      <c r="AR38" s="20" t="e">
        <f>AL38-#REF!</f>
        <v>#REF!</v>
      </c>
      <c r="AS38" s="17" t="e">
        <f t="shared" si="49"/>
        <v>#REF!</v>
      </c>
      <c r="AT38" s="21">
        <v>108</v>
      </c>
      <c r="AU38" s="21">
        <v>108</v>
      </c>
    </row>
    <row r="39" spans="1:47" x14ac:dyDescent="0.35">
      <c r="A39" s="8" t="s">
        <v>55</v>
      </c>
      <c r="B39" s="36" t="s">
        <v>69</v>
      </c>
      <c r="C39" s="15">
        <v>90204.374032475869</v>
      </c>
      <c r="D39" s="8">
        <v>1.42</v>
      </c>
      <c r="E39" s="8">
        <v>2.4</v>
      </c>
      <c r="F39" s="16">
        <v>1.8228126666666671</v>
      </c>
      <c r="G39" s="37">
        <f t="shared" si="37"/>
        <v>9533.3333333333339</v>
      </c>
      <c r="H39" s="8">
        <v>2</v>
      </c>
      <c r="I39" s="8">
        <v>10</v>
      </c>
      <c r="M39" s="8">
        <v>5</v>
      </c>
      <c r="N39" s="8">
        <v>13</v>
      </c>
      <c r="O39" s="37">
        <v>22</v>
      </c>
      <c r="P39" s="8">
        <v>2</v>
      </c>
      <c r="Q39" s="15">
        <f t="shared" si="38"/>
        <v>73947.887348000018</v>
      </c>
      <c r="R39" s="15">
        <f t="shared" si="39"/>
        <v>73947.887348000018</v>
      </c>
      <c r="U39" s="15">
        <f t="shared" si="40"/>
        <v>73947.887348000018</v>
      </c>
      <c r="V39" s="15">
        <f t="shared" si="41"/>
        <v>161852.25314859784</v>
      </c>
      <c r="W39" s="17">
        <v>0.1071</v>
      </c>
      <c r="Y39" s="18">
        <v>39766</v>
      </c>
      <c r="Z39" s="18">
        <v>35338</v>
      </c>
      <c r="AB39" s="18">
        <f t="shared" si="42"/>
        <v>64648</v>
      </c>
      <c r="AC39" s="18">
        <f t="shared" si="43"/>
        <v>60722</v>
      </c>
      <c r="AD39" s="17">
        <f t="shared" si="44"/>
        <v>-0.11135140572348237</v>
      </c>
      <c r="AE39" s="15">
        <f>AE27</f>
        <v>-387</v>
      </c>
      <c r="AF39" s="15">
        <f t="shared" si="45"/>
        <v>344898.9793152645</v>
      </c>
      <c r="AG39" s="17">
        <v>4.8000000000000001E-2</v>
      </c>
      <c r="AH39" s="15">
        <v>313138</v>
      </c>
      <c r="AI39" s="15">
        <v>330159</v>
      </c>
      <c r="AJ39" s="17">
        <f t="shared" si="46"/>
        <v>5.4356226328328087E-2</v>
      </c>
      <c r="AK39" s="15">
        <v>301642</v>
      </c>
      <c r="AL39" s="15">
        <v>293859</v>
      </c>
      <c r="AM39" s="17">
        <f t="shared" si="47"/>
        <v>-2.5802109785772537E-2</v>
      </c>
      <c r="AN39" s="15">
        <v>255189</v>
      </c>
      <c r="AO39" s="15">
        <v>251217</v>
      </c>
      <c r="AP39" s="17">
        <f t="shared" si="48"/>
        <v>-1.5564934225221306E-2</v>
      </c>
      <c r="AQ39" s="20" t="e">
        <f>AK39-#REF!</f>
        <v>#REF!</v>
      </c>
      <c r="AR39" s="20" t="e">
        <f>AL39-#REF!</f>
        <v>#REF!</v>
      </c>
      <c r="AS39" s="17" t="e">
        <f t="shared" si="49"/>
        <v>#REF!</v>
      </c>
      <c r="AT39" s="21">
        <v>71</v>
      </c>
      <c r="AU39" s="21">
        <v>127</v>
      </c>
    </row>
    <row r="40" spans="1:47" x14ac:dyDescent="0.35">
      <c r="A40" s="8" t="s">
        <v>55</v>
      </c>
      <c r="B40" s="36" t="s">
        <v>70</v>
      </c>
      <c r="C40" s="15">
        <v>10306.26628819946</v>
      </c>
      <c r="D40" s="8">
        <v>1.42</v>
      </c>
      <c r="E40" s="8">
        <v>2.4</v>
      </c>
      <c r="F40" s="16">
        <v>2.236960666666667</v>
      </c>
      <c r="G40" s="37">
        <f t="shared" si="37"/>
        <v>9533.3333333333339</v>
      </c>
      <c r="H40" s="8">
        <v>2</v>
      </c>
      <c r="I40" s="8">
        <v>10</v>
      </c>
      <c r="M40" s="8">
        <v>5</v>
      </c>
      <c r="N40" s="8">
        <v>13</v>
      </c>
      <c r="O40" s="37">
        <v>22</v>
      </c>
      <c r="P40" s="8">
        <v>2</v>
      </c>
      <c r="Q40" s="15">
        <f t="shared" si="38"/>
        <v>31862.674708000006</v>
      </c>
      <c r="R40" s="15">
        <f t="shared" si="39"/>
        <v>10306.26628819946</v>
      </c>
      <c r="U40" s="15">
        <f t="shared" si="40"/>
        <v>10306.26628819946</v>
      </c>
      <c r="V40" s="15">
        <f t="shared" si="41"/>
        <v>52200</v>
      </c>
      <c r="W40" s="17">
        <v>4.19E-2</v>
      </c>
      <c r="Y40" s="18">
        <v>6681</v>
      </c>
      <c r="Z40" s="18">
        <v>9982</v>
      </c>
      <c r="AB40" s="18">
        <f t="shared" si="42"/>
        <v>52901</v>
      </c>
      <c r="AC40" s="18">
        <f t="shared" si="43"/>
        <v>60243</v>
      </c>
      <c r="AD40" s="17">
        <f t="shared" si="44"/>
        <v>0.49408771142044605</v>
      </c>
      <c r="AE40" s="15">
        <f>AE28</f>
        <v>2987</v>
      </c>
      <c r="AF40" s="15">
        <f t="shared" si="45"/>
        <v>344898.9793152645</v>
      </c>
      <c r="AG40" s="17">
        <v>4.8000000000000001E-2</v>
      </c>
      <c r="AH40" s="15">
        <v>172368</v>
      </c>
      <c r="AI40" s="15">
        <v>176000</v>
      </c>
      <c r="AJ40" s="17">
        <f t="shared" si="46"/>
        <v>2.1071196509793E-2</v>
      </c>
      <c r="AK40" s="15">
        <v>175355</v>
      </c>
      <c r="AL40" s="15">
        <v>176000</v>
      </c>
      <c r="AM40" s="17">
        <f t="shared" si="47"/>
        <v>3.6782526874055486E-3</v>
      </c>
      <c r="AN40" s="15">
        <v>98317</v>
      </c>
      <c r="AO40" s="15">
        <v>101000</v>
      </c>
      <c r="AP40" s="17">
        <f t="shared" si="48"/>
        <v>2.7289278558133383E-2</v>
      </c>
      <c r="AQ40" s="20" t="e">
        <f>AK40-#REF!</f>
        <v>#REF!</v>
      </c>
      <c r="AR40" s="20" t="e">
        <f>AL40-#REF!</f>
        <v>#REF!</v>
      </c>
      <c r="AS40" s="17" t="e">
        <f t="shared" si="49"/>
        <v>#REF!</v>
      </c>
      <c r="AT40" s="21">
        <v>92</v>
      </c>
      <c r="AU40" s="21">
        <v>134</v>
      </c>
    </row>
    <row r="41" spans="1:47" x14ac:dyDescent="0.35">
      <c r="A41" s="22" t="s">
        <v>60</v>
      </c>
      <c r="B41" s="22" t="s">
        <v>72</v>
      </c>
      <c r="C41" s="23">
        <v>588423.84745400562</v>
      </c>
      <c r="D41" s="23"/>
      <c r="E41" s="23"/>
      <c r="F41" s="23"/>
      <c r="G41" s="38"/>
      <c r="H41" s="22"/>
      <c r="I41" s="22"/>
      <c r="J41" s="22"/>
      <c r="K41" s="22"/>
      <c r="L41" s="22"/>
      <c r="M41" s="22"/>
      <c r="N41" s="22"/>
      <c r="O41" s="38"/>
      <c r="P41" s="22"/>
      <c r="Q41" s="23">
        <f>SUM(Q31:Q40)</f>
        <v>524218.05896633328</v>
      </c>
      <c r="R41" s="23">
        <f>SUM(R31:R40)</f>
        <v>480977.60637007368</v>
      </c>
      <c r="S41" s="23">
        <f>SUM(S31:S40)</f>
        <v>15000</v>
      </c>
      <c r="T41" s="23"/>
      <c r="U41" s="23">
        <f>SUM(U31:U40)</f>
        <v>495977.60637007368</v>
      </c>
      <c r="V41" s="23">
        <f>SUM(V31:V40)</f>
        <v>1048095.7688493405</v>
      </c>
      <c r="W41" s="24" t="e">
        <f>IF(#REF!&gt;0,(#REF!-#REF!)/#REF!,"")</f>
        <v>#REF!</v>
      </c>
      <c r="X41" s="24"/>
      <c r="Y41" s="25">
        <f>SUM(Y31:Y40)</f>
        <v>242214</v>
      </c>
      <c r="Z41" s="25">
        <f>SUM(Z31:Z40)</f>
        <v>224161</v>
      </c>
      <c r="AA41" s="25"/>
      <c r="AB41" s="25">
        <f>SUM(AB31:AB40)</f>
        <v>487490</v>
      </c>
      <c r="AC41" s="25">
        <f>SUM(AC31:AC40)</f>
        <v>470252</v>
      </c>
      <c r="AD41" s="24">
        <f>IF(Y41&gt;0,(Z41-Y41)/Y41,"")</f>
        <v>-7.4533263973180747E-2</v>
      </c>
      <c r="AE41" s="23" t="e">
        <f>SUM(AE31:AE40)</f>
        <v>#REF!</v>
      </c>
      <c r="AF41" s="23">
        <f>SUM(AF31:AF40)</f>
        <v>2882716.6353726047</v>
      </c>
      <c r="AG41" s="17">
        <v>4.8000000000000001E-2</v>
      </c>
      <c r="AH41" s="23">
        <f>SUM(AH31:AH40)</f>
        <v>2180499</v>
      </c>
      <c r="AI41" s="23">
        <f>SUM(AI31:AI40)</f>
        <v>2368024</v>
      </c>
      <c r="AJ41" s="24">
        <f t="shared" si="46"/>
        <v>8.6000956661754946E-2</v>
      </c>
      <c r="AK41" s="23">
        <f>SUM(AK31:AK40)</f>
        <v>2130978</v>
      </c>
      <c r="AL41" s="23">
        <f>SUM(AL31:AL40)</f>
        <v>2257946</v>
      </c>
      <c r="AM41" s="24">
        <f t="shared" si="47"/>
        <v>5.9582032287522443E-2</v>
      </c>
      <c r="AN41" s="23">
        <f>SUM(AN31:AN40)</f>
        <v>1714675</v>
      </c>
      <c r="AO41" s="23">
        <f>SUM(AO31:AO40)</f>
        <v>1844226</v>
      </c>
      <c r="AP41" s="24">
        <f t="shared" si="48"/>
        <v>7.5554259553559711E-2</v>
      </c>
      <c r="AQ41" s="20" t="e">
        <f>AK41-#REF!</f>
        <v>#REF!</v>
      </c>
      <c r="AR41" s="20" t="e">
        <f>AL41-#REF!</f>
        <v>#REF!</v>
      </c>
      <c r="AS41" s="24" t="e">
        <f t="shared" si="49"/>
        <v>#REF!</v>
      </c>
      <c r="AT41" s="26"/>
      <c r="AU41" s="21"/>
    </row>
    <row r="42" spans="1:47" x14ac:dyDescent="0.35">
      <c r="A42" s="9" t="s">
        <v>81</v>
      </c>
      <c r="B42" s="10"/>
      <c r="C42" s="11"/>
      <c r="D42" s="10"/>
      <c r="E42" s="10"/>
      <c r="F42" s="10"/>
      <c r="G42" s="35"/>
      <c r="H42" s="10"/>
      <c r="I42" s="10"/>
      <c r="J42" s="10"/>
      <c r="K42" s="10"/>
      <c r="L42" s="10"/>
      <c r="M42" s="10"/>
      <c r="N42" s="10"/>
      <c r="O42" s="35"/>
      <c r="P42" s="10"/>
      <c r="Q42" s="11"/>
      <c r="R42" s="39" t="e">
        <f>IF(ROUNDDOWN((R32-(#REF!*Y32/AB32))/(#REF!*Y32/AB32)*100,0)&gt;0,"+"&amp;ROUNDDOWN((R32-(#REF!*Y32/AB32))/(#REF!*Y32/AB32)*100,0)&amp;"% /2025",ROUNDDOWN((R32-(#REF!*Y32/AB32))/(#REF!*Y32/AB32)*100,0)&amp;"% /2025")</f>
        <v>#REF!</v>
      </c>
      <c r="S42" s="11"/>
      <c r="T42" s="11"/>
      <c r="U42" s="11"/>
      <c r="V42" s="11"/>
      <c r="W42" s="12"/>
      <c r="X42" s="12"/>
      <c r="Y42" s="13"/>
      <c r="Z42" s="13"/>
      <c r="AA42" s="13"/>
      <c r="AB42" s="13"/>
      <c r="AC42" s="13"/>
      <c r="AD42" s="12"/>
      <c r="AE42" s="11"/>
      <c r="AF42" s="11"/>
      <c r="AG42" s="12"/>
      <c r="AH42" s="11"/>
      <c r="AI42" s="11"/>
      <c r="AJ42" s="12"/>
      <c r="AK42" s="11"/>
      <c r="AL42" s="11"/>
      <c r="AM42" s="12"/>
      <c r="AN42" s="11"/>
      <c r="AO42" s="11"/>
      <c r="AP42" s="12"/>
      <c r="AQ42" s="12"/>
      <c r="AR42" s="12"/>
      <c r="AS42" s="12"/>
      <c r="AT42" s="14"/>
      <c r="AU42" s="21"/>
    </row>
    <row r="43" spans="1:47" x14ac:dyDescent="0.35">
      <c r="A43" s="8" t="s">
        <v>50</v>
      </c>
      <c r="B43" s="36" t="s">
        <v>82</v>
      </c>
      <c r="C43" s="15">
        <v>53000</v>
      </c>
      <c r="D43" s="8">
        <v>3</v>
      </c>
      <c r="E43" s="8">
        <v>5</v>
      </c>
      <c r="F43" s="16">
        <v>3.177</v>
      </c>
      <c r="G43" s="37">
        <f t="shared" ref="G43:G53" si="50">(H43*I43*(J43+K43+L43+M43)*N43*O43)/(P43+1)</f>
        <v>4224</v>
      </c>
      <c r="H43" s="8">
        <v>2</v>
      </c>
      <c r="I43" s="8">
        <v>2</v>
      </c>
      <c r="L43" s="8">
        <v>4</v>
      </c>
      <c r="N43" s="8">
        <v>36</v>
      </c>
      <c r="O43" s="37">
        <v>22</v>
      </c>
      <c r="P43" s="8">
        <v>2</v>
      </c>
      <c r="Q43" s="15">
        <f>IF(Z43&gt;0,G43+F43*Z43,0)</f>
        <v>62140.71</v>
      </c>
      <c r="R43" s="15">
        <f>IF(Q43&gt;C43,C43,Q43)</f>
        <v>53000</v>
      </c>
      <c r="U43" s="15">
        <f>R43+S43</f>
        <v>53000</v>
      </c>
      <c r="V43" s="15">
        <f>SUMIF(B:B,B43,U:U)</f>
        <v>53000</v>
      </c>
      <c r="W43" s="17">
        <v>3.9E-2</v>
      </c>
      <c r="Y43" s="18">
        <v>12753</v>
      </c>
      <c r="Z43" s="18">
        <f>8388+2447+7395</f>
        <v>18230</v>
      </c>
      <c r="AB43" s="18">
        <f>Y43</f>
        <v>12753</v>
      </c>
      <c r="AC43" s="18">
        <f>Z43</f>
        <v>18230</v>
      </c>
      <c r="AD43" s="17">
        <f>IF(AND(ISNUMBER(Y43), Y43&gt;0), (Z43-Y43)/Y43, "")</f>
        <v>0.42946757625656706</v>
      </c>
      <c r="AE43" s="15">
        <v>638</v>
      </c>
      <c r="AF43" s="15">
        <f>SUMIF(A:A,A43,U:U)</f>
        <v>688483.76834133326</v>
      </c>
      <c r="AG43" s="17">
        <v>0.1951</v>
      </c>
      <c r="AH43" s="15">
        <v>101861</v>
      </c>
      <c r="AI43" s="15">
        <v>103350</v>
      </c>
      <c r="AJ43" s="17">
        <f>(AI43-AH43)/AH43</f>
        <v>1.4617959768704411E-2</v>
      </c>
      <c r="AK43" s="15">
        <v>102500</v>
      </c>
      <c r="AL43" s="15">
        <v>96480</v>
      </c>
      <c r="AM43" s="17">
        <f>(AL43-AK43)/AK43</f>
        <v>-5.8731707317073167E-2</v>
      </c>
      <c r="AN43" s="15">
        <v>75886</v>
      </c>
      <c r="AO43" s="15">
        <v>80000</v>
      </c>
      <c r="AP43" s="17">
        <f>(AO43-AN43)/AN43</f>
        <v>5.4212898294810637E-2</v>
      </c>
      <c r="AQ43" s="20" t="e">
        <f>AK43-#REF!</f>
        <v>#REF!</v>
      </c>
      <c r="AR43" s="20" t="e">
        <f>AL43-#REF!</f>
        <v>#REF!</v>
      </c>
      <c r="AS43" s="17" t="e">
        <f>(AR43-AQ43)/AQ43</f>
        <v>#REF!</v>
      </c>
      <c r="AU43" s="21"/>
    </row>
    <row r="44" spans="1:47" x14ac:dyDescent="0.35">
      <c r="A44" s="8" t="s">
        <v>50</v>
      </c>
      <c r="B44" s="36" t="s">
        <v>82</v>
      </c>
      <c r="D44" s="8">
        <v>3</v>
      </c>
      <c r="E44" s="8">
        <v>5</v>
      </c>
      <c r="F44" s="16">
        <v>3.177</v>
      </c>
      <c r="G44" s="37">
        <f t="shared" si="50"/>
        <v>2112</v>
      </c>
      <c r="H44" s="8">
        <v>2</v>
      </c>
      <c r="I44" s="8">
        <v>4</v>
      </c>
      <c r="M44" s="8">
        <v>1</v>
      </c>
      <c r="N44" s="8">
        <v>36</v>
      </c>
      <c r="O44" s="8">
        <v>22</v>
      </c>
      <c r="P44" s="8">
        <v>2</v>
      </c>
      <c r="V44" s="15">
        <f t="shared" ref="V44:V45" si="51">SUMIF(B:B,B44,U:U)</f>
        <v>53000</v>
      </c>
      <c r="AJ44" s="17"/>
      <c r="AM44" s="17"/>
      <c r="AP44" s="17"/>
      <c r="AQ44" s="20"/>
      <c r="AR44" s="20"/>
      <c r="AS44" s="17"/>
      <c r="AU44" s="21"/>
    </row>
    <row r="45" spans="1:47" x14ac:dyDescent="0.35">
      <c r="A45" s="8" t="s">
        <v>50</v>
      </c>
      <c r="B45" s="36" t="s">
        <v>82</v>
      </c>
      <c r="D45" s="8">
        <v>3</v>
      </c>
      <c r="E45" s="8">
        <v>5</v>
      </c>
      <c r="F45" s="16">
        <v>3.177</v>
      </c>
      <c r="G45" s="37">
        <f t="shared" si="50"/>
        <v>1906.6666666666667</v>
      </c>
      <c r="H45" s="8">
        <v>2</v>
      </c>
      <c r="I45" s="8">
        <v>5</v>
      </c>
      <c r="M45" s="8">
        <v>2</v>
      </c>
      <c r="N45" s="8">
        <v>13</v>
      </c>
      <c r="O45" s="37">
        <v>22</v>
      </c>
      <c r="P45" s="8">
        <v>2</v>
      </c>
      <c r="V45" s="15">
        <f t="shared" si="51"/>
        <v>53000</v>
      </c>
      <c r="AJ45" s="17"/>
      <c r="AM45" s="17"/>
      <c r="AP45" s="17"/>
      <c r="AQ45" s="20"/>
      <c r="AR45" s="20"/>
      <c r="AS45" s="17"/>
      <c r="AU45" s="21"/>
    </row>
    <row r="46" spans="1:47" x14ac:dyDescent="0.35">
      <c r="A46" s="8" t="s">
        <v>58</v>
      </c>
      <c r="B46" s="36" t="s">
        <v>59</v>
      </c>
      <c r="C46" s="15">
        <v>16822</v>
      </c>
      <c r="D46" s="8">
        <v>3</v>
      </c>
      <c r="E46" s="8">
        <v>5</v>
      </c>
      <c r="F46" s="16">
        <v>4.6833</v>
      </c>
      <c r="G46" s="37">
        <f t="shared" si="50"/>
        <v>528</v>
      </c>
      <c r="H46" s="8">
        <v>1</v>
      </c>
      <c r="I46" s="8">
        <v>2</v>
      </c>
      <c r="L46" s="8">
        <v>1</v>
      </c>
      <c r="N46" s="8">
        <v>36</v>
      </c>
      <c r="O46" s="37">
        <v>22</v>
      </c>
      <c r="P46" s="8">
        <v>2</v>
      </c>
      <c r="Q46" s="15">
        <f>IF(Z46&gt;0,G46+F46*Z46,0)</f>
        <v>15360.0111</v>
      </c>
      <c r="R46" s="15">
        <f>IF(Q46&gt;C46,C46,Q46)</f>
        <v>15360.0111</v>
      </c>
      <c r="U46" s="15">
        <f>R46+S46</f>
        <v>15360.0111</v>
      </c>
      <c r="V46" s="15">
        <f t="shared" ref="V46:V52" si="52">SUMIF(B:B,B46,U:U)</f>
        <v>151181.255489</v>
      </c>
      <c r="W46" s="17">
        <v>0.1191</v>
      </c>
      <c r="Y46" s="18">
        <v>3758</v>
      </c>
      <c r="Z46" s="18">
        <v>3167</v>
      </c>
      <c r="AB46" s="18">
        <f>Y46</f>
        <v>3758</v>
      </c>
      <c r="AC46" s="18">
        <f>Z46</f>
        <v>3167</v>
      </c>
      <c r="AD46" s="17">
        <f>IF(AND(ISNUMBER(Y46), Y46&gt;0), (Z46-Y46)/Y46, "")</f>
        <v>-0.1572645023948909</v>
      </c>
      <c r="AE46" s="15">
        <f>AE8</f>
        <v>-18107</v>
      </c>
      <c r="AF46" s="15">
        <f>SUMIF(A:A,A46,U:U)</f>
        <v>151181.255489</v>
      </c>
      <c r="AG46" s="17">
        <v>0.2833</v>
      </c>
      <c r="AH46" s="15">
        <v>36680</v>
      </c>
      <c r="AI46" s="15">
        <v>29367</v>
      </c>
      <c r="AJ46" s="17">
        <f>(AI46-AH46)/AH46</f>
        <v>-0.19937295528898583</v>
      </c>
      <c r="AK46" s="15">
        <v>37251</v>
      </c>
      <c r="AL46" s="15">
        <v>29367</v>
      </c>
      <c r="AM46" s="17">
        <f>(AL46-AK46)/AK46</f>
        <v>-0.21164532495771926</v>
      </c>
      <c r="AN46" s="15">
        <v>21619</v>
      </c>
      <c r="AO46" s="15">
        <v>20540</v>
      </c>
      <c r="AP46" s="17">
        <f>(AO46-AN46)/AN46</f>
        <v>-4.9909801563439569E-2</v>
      </c>
      <c r="AQ46" s="20" t="e">
        <f>AK46-#REF!</f>
        <v>#REF!</v>
      </c>
      <c r="AR46" s="20" t="e">
        <f>AL46-#REF!</f>
        <v>#REF!</v>
      </c>
      <c r="AS46" s="17" t="e">
        <f>(AR46-AQ46)/AQ46</f>
        <v>#REF!</v>
      </c>
      <c r="AT46" s="21">
        <v>62</v>
      </c>
      <c r="AU46" s="21">
        <v>74</v>
      </c>
    </row>
    <row r="47" spans="1:47" x14ac:dyDescent="0.35">
      <c r="A47" s="8" t="s">
        <v>58</v>
      </c>
      <c r="B47" s="36" t="s">
        <v>59</v>
      </c>
      <c r="D47" s="8">
        <v>3</v>
      </c>
      <c r="E47" s="8">
        <v>5</v>
      </c>
      <c r="F47" s="16">
        <v>4.6833</v>
      </c>
      <c r="G47" s="37">
        <f t="shared" si="50"/>
        <v>1906.6666666666667</v>
      </c>
      <c r="H47" s="8">
        <v>2</v>
      </c>
      <c r="I47" s="8">
        <v>5</v>
      </c>
      <c r="L47" s="37"/>
      <c r="M47" s="8">
        <v>2</v>
      </c>
      <c r="N47" s="8">
        <v>13</v>
      </c>
      <c r="O47" s="37">
        <v>22</v>
      </c>
      <c r="P47" s="8">
        <v>2</v>
      </c>
      <c r="V47" s="15">
        <f t="shared" si="52"/>
        <v>151181.255489</v>
      </c>
      <c r="AJ47" s="17"/>
      <c r="AM47" s="17"/>
      <c r="AP47" s="17"/>
      <c r="AQ47" s="20"/>
      <c r="AR47" s="20"/>
      <c r="AS47" s="17"/>
      <c r="AU47" s="21"/>
    </row>
    <row r="48" spans="1:47" x14ac:dyDescent="0.35">
      <c r="A48" s="8" t="s">
        <v>65</v>
      </c>
      <c r="B48" s="36" t="s">
        <v>66</v>
      </c>
      <c r="C48" s="15">
        <v>23321</v>
      </c>
      <c r="D48" s="8">
        <v>3</v>
      </c>
      <c r="E48" s="8">
        <v>5</v>
      </c>
      <c r="F48" s="16">
        <v>4.7999000000000001</v>
      </c>
      <c r="G48" s="37">
        <f t="shared" si="50"/>
        <v>1906.6666666666667</v>
      </c>
      <c r="H48" s="8">
        <v>2</v>
      </c>
      <c r="I48" s="8">
        <v>5</v>
      </c>
      <c r="J48" s="37"/>
      <c r="M48" s="8">
        <v>2</v>
      </c>
      <c r="N48" s="8">
        <v>13</v>
      </c>
      <c r="O48" s="37">
        <v>22</v>
      </c>
      <c r="P48" s="8">
        <v>2</v>
      </c>
      <c r="Q48" s="15">
        <f>IF(Z48&gt;0,G48+F48*Z48,0)</f>
        <v>11511.266566666665</v>
      </c>
      <c r="R48" s="15">
        <f>IF(Q48&gt;C48,C48,Q48)</f>
        <v>11511.266566666665</v>
      </c>
      <c r="U48" s="15">
        <f>R48+S48</f>
        <v>11511.266566666665</v>
      </c>
      <c r="V48" s="15">
        <f t="shared" si="52"/>
        <v>110799.25591366665</v>
      </c>
      <c r="W48" s="17">
        <v>0.28849999999999998</v>
      </c>
      <c r="Y48" s="18">
        <v>4625</v>
      </c>
      <c r="Z48" s="18">
        <v>2001</v>
      </c>
      <c r="AB48" s="18">
        <f t="shared" ref="AB48:AC50" si="53">Y48</f>
        <v>4625</v>
      </c>
      <c r="AC48" s="18">
        <f t="shared" si="53"/>
        <v>2001</v>
      </c>
      <c r="AD48" s="17">
        <f>IF(AND(ISNUMBER(Y48), Y48&gt;0), (Z48-Y48)/Y48, "")</f>
        <v>-0.5673513513513514</v>
      </c>
      <c r="AE48" s="15">
        <f>AE23</f>
        <v>-8000</v>
      </c>
      <c r="AF48" s="15">
        <f>SUMIF(A:A,A48,U:U)</f>
        <v>110799.25591366665</v>
      </c>
      <c r="AG48" s="17">
        <v>0.315</v>
      </c>
      <c r="AH48" s="15">
        <v>24112</v>
      </c>
      <c r="AI48" s="15">
        <v>32840</v>
      </c>
      <c r="AJ48" s="17">
        <f>(AI48-AH48)/AH48</f>
        <v>0.36197743861977438</v>
      </c>
      <c r="AK48" s="15">
        <v>29510</v>
      </c>
      <c r="AL48" s="15">
        <v>33090</v>
      </c>
      <c r="AM48" s="17">
        <f>(AL48-AK48)/AK48</f>
        <v>0.12131480853947814</v>
      </c>
      <c r="AN48" s="15">
        <v>15738</v>
      </c>
      <c r="AO48" s="15">
        <v>19321</v>
      </c>
      <c r="AP48" s="17">
        <f>(AO48-AN48)/AN48</f>
        <v>0.22766552293811157</v>
      </c>
      <c r="AQ48" s="20" t="e">
        <f>AK48-#REF!</f>
        <v>#REF!</v>
      </c>
      <c r="AR48" s="20" t="e">
        <f>AL48-#REF!</f>
        <v>#REF!</v>
      </c>
      <c r="AS48" s="17" t="e">
        <f>(AR48-AQ48)/AQ48</f>
        <v>#REF!</v>
      </c>
      <c r="AT48" s="21">
        <v>94</v>
      </c>
      <c r="AU48" s="21">
        <v>94</v>
      </c>
    </row>
    <row r="49" spans="1:47" x14ac:dyDescent="0.35">
      <c r="A49" s="8" t="s">
        <v>83</v>
      </c>
      <c r="B49" s="36" t="s">
        <v>76</v>
      </c>
      <c r="C49" s="15">
        <v>10302</v>
      </c>
      <c r="D49" s="8">
        <v>3</v>
      </c>
      <c r="E49" s="8">
        <v>5</v>
      </c>
      <c r="F49" s="16">
        <v>4.7592999999999996</v>
      </c>
      <c r="G49" s="37">
        <f t="shared" si="50"/>
        <v>1906.6666666666667</v>
      </c>
      <c r="H49" s="8">
        <v>2</v>
      </c>
      <c r="I49" s="8">
        <v>5</v>
      </c>
      <c r="M49" s="8">
        <v>2</v>
      </c>
      <c r="N49" s="8">
        <v>13</v>
      </c>
      <c r="O49" s="37">
        <v>22</v>
      </c>
      <c r="P49" s="8">
        <v>2</v>
      </c>
      <c r="Q49" s="15">
        <f>IF(Z49&gt;0,G49+F49*Z49,0)</f>
        <v>13362.301766666666</v>
      </c>
      <c r="R49" s="15">
        <f>IF(Q49&gt;C49,C49,Q49)</f>
        <v>10302</v>
      </c>
      <c r="U49" s="37">
        <f>R49+S49</f>
        <v>10302</v>
      </c>
      <c r="V49" s="37">
        <f t="shared" si="52"/>
        <v>70809.119662000012</v>
      </c>
      <c r="W49" s="17">
        <v>0.63339999999999996</v>
      </c>
      <c r="Y49" s="18">
        <v>2085</v>
      </c>
      <c r="Z49" s="18">
        <v>2407</v>
      </c>
      <c r="AB49" s="18">
        <f t="shared" si="53"/>
        <v>2085</v>
      </c>
      <c r="AC49" s="18">
        <f t="shared" si="53"/>
        <v>2407</v>
      </c>
      <c r="AD49" s="17">
        <f>IF(AND(ISNUMBER(Y49), Y49&gt;0), (Z49-Y49)/Y49, "")</f>
        <v>0.15443645083932853</v>
      </c>
      <c r="AE49" s="15">
        <f>AE39</f>
        <v>-387</v>
      </c>
      <c r="AF49" s="15">
        <f>SUMIF(A:A,A49,U:U)</f>
        <v>10302</v>
      </c>
      <c r="AG49" s="17">
        <v>0.63339999999999996</v>
      </c>
      <c r="AH49" s="15">
        <v>17009</v>
      </c>
      <c r="AI49" s="15">
        <v>20160</v>
      </c>
      <c r="AJ49" s="17">
        <f>(AI49-AH49)/AH49</f>
        <v>0.18525486507143277</v>
      </c>
      <c r="AK49" s="15">
        <v>0</v>
      </c>
      <c r="AL49" s="15">
        <v>20160</v>
      </c>
      <c r="AM49" s="17" t="e">
        <f>(AL49-AK49)/AK49</f>
        <v>#DIV/0!</v>
      </c>
      <c r="AN49" s="15">
        <v>11978</v>
      </c>
      <c r="AO49" s="15">
        <v>13150</v>
      </c>
      <c r="AP49" s="17">
        <f>(AO49-AN49)/AN49</f>
        <v>9.7846051093671726E-2</v>
      </c>
      <c r="AQ49" s="20" t="e">
        <f>AK49-#REF!</f>
        <v>#REF!</v>
      </c>
      <c r="AR49" s="20" t="e">
        <f>AL49-#REF!</f>
        <v>#REF!</v>
      </c>
      <c r="AS49" s="17" t="e">
        <f>(AR49-AQ49)/AQ49</f>
        <v>#REF!</v>
      </c>
      <c r="AT49" s="21">
        <v>108</v>
      </c>
      <c r="AU49" s="21">
        <v>108</v>
      </c>
    </row>
    <row r="50" spans="1:47" x14ac:dyDescent="0.35">
      <c r="A50" s="8" t="s">
        <v>84</v>
      </c>
      <c r="B50" s="36" t="s">
        <v>69</v>
      </c>
      <c r="C50" s="15">
        <v>40000</v>
      </c>
      <c r="D50" s="8">
        <v>3</v>
      </c>
      <c r="E50" s="8">
        <v>5</v>
      </c>
      <c r="F50" s="16">
        <v>4.5923999999999996</v>
      </c>
      <c r="G50" s="37">
        <f t="shared" si="50"/>
        <v>528</v>
      </c>
      <c r="H50" s="8">
        <v>1</v>
      </c>
      <c r="I50" s="8">
        <v>2</v>
      </c>
      <c r="L50" s="8">
        <v>1</v>
      </c>
      <c r="N50" s="8">
        <v>36</v>
      </c>
      <c r="O50" s="37">
        <v>22</v>
      </c>
      <c r="P50" s="8">
        <v>2</v>
      </c>
      <c r="Q50" s="15">
        <f>IF(Z50&gt;0,G50+F50*Z50,0)</f>
        <v>19246.622399999997</v>
      </c>
      <c r="R50" s="15">
        <v>21153</v>
      </c>
      <c r="S50" s="15">
        <v>13000</v>
      </c>
      <c r="T50" s="15" t="s">
        <v>85</v>
      </c>
      <c r="U50" s="37">
        <f>R50+S50</f>
        <v>34153</v>
      </c>
      <c r="V50" s="37">
        <f t="shared" si="52"/>
        <v>161852.25314859784</v>
      </c>
      <c r="W50" s="17">
        <v>5.2600000000000001E-2</v>
      </c>
      <c r="Y50" s="18">
        <v>0</v>
      </c>
      <c r="Z50" s="18">
        <v>4076</v>
      </c>
      <c r="AB50" s="18">
        <f t="shared" si="53"/>
        <v>0</v>
      </c>
      <c r="AC50" s="18">
        <f t="shared" si="53"/>
        <v>4076</v>
      </c>
      <c r="AD50" s="17" t="str">
        <f>IF(AND(ISNUMBER(Y50), Y50&gt;0), (Z50-Y50)/Y50, "")</f>
        <v/>
      </c>
      <c r="AE50" s="15">
        <f>AE32</f>
        <v>8500</v>
      </c>
      <c r="AF50" s="15">
        <f>SUMIF(A:A,A50,U:U)</f>
        <v>50600</v>
      </c>
      <c r="AG50" s="17">
        <v>0.30959999999999999</v>
      </c>
      <c r="AH50" s="15">
        <v>47837</v>
      </c>
      <c r="AI50" s="15">
        <v>65323</v>
      </c>
      <c r="AJ50" s="17">
        <f>(AI50-AH50)/AH50</f>
        <v>0.36553295566193533</v>
      </c>
      <c r="AK50" s="15">
        <v>54864</v>
      </c>
      <c r="AL50" s="15">
        <v>60785</v>
      </c>
      <c r="AM50" s="17">
        <f>(AL50-AK50)/AK50</f>
        <v>0.10792140565762613</v>
      </c>
      <c r="AN50" s="15">
        <v>31293</v>
      </c>
      <c r="AO50" s="15">
        <v>28362</v>
      </c>
      <c r="AP50" s="17">
        <f>(AO50-AN50)/AN50</f>
        <v>-9.366311954750263E-2</v>
      </c>
      <c r="AQ50" s="20" t="e">
        <f>AK50-#REF!</f>
        <v>#REF!</v>
      </c>
      <c r="AR50" s="20" t="e">
        <f>AL50-#REF!</f>
        <v>#REF!</v>
      </c>
      <c r="AS50" s="17" t="e">
        <f>(AR50-AQ50)/AQ50</f>
        <v>#REF!</v>
      </c>
      <c r="AT50" s="21">
        <v>71</v>
      </c>
      <c r="AU50" s="21">
        <v>127</v>
      </c>
    </row>
    <row r="51" spans="1:47" x14ac:dyDescent="0.35">
      <c r="A51" s="8" t="s">
        <v>84</v>
      </c>
      <c r="B51" s="36" t="s">
        <v>69</v>
      </c>
      <c r="D51" s="8">
        <v>3</v>
      </c>
      <c r="E51" s="8">
        <v>5</v>
      </c>
      <c r="F51" s="16">
        <v>4.5923999999999996</v>
      </c>
      <c r="G51" s="37">
        <f t="shared" si="50"/>
        <v>1906.6666666666667</v>
      </c>
      <c r="H51" s="8">
        <v>2</v>
      </c>
      <c r="I51" s="8">
        <v>5</v>
      </c>
      <c r="M51" s="8">
        <v>2</v>
      </c>
      <c r="N51" s="8">
        <v>13</v>
      </c>
      <c r="O51" s="37">
        <v>22</v>
      </c>
      <c r="P51" s="8">
        <v>2</v>
      </c>
      <c r="U51" s="41">
        <f>R51+S51</f>
        <v>0</v>
      </c>
      <c r="V51" s="41">
        <f t="shared" si="52"/>
        <v>161852.25314859784</v>
      </c>
      <c r="AJ51" s="17"/>
      <c r="AM51" s="17"/>
      <c r="AP51" s="17"/>
      <c r="AQ51" s="20"/>
      <c r="AR51" s="20"/>
      <c r="AS51" s="17"/>
      <c r="AU51" s="21"/>
    </row>
    <row r="52" spans="1:47" x14ac:dyDescent="0.35">
      <c r="A52" s="8" t="s">
        <v>48</v>
      </c>
      <c r="B52" s="36" t="s">
        <v>64</v>
      </c>
      <c r="C52" s="15">
        <v>2825</v>
      </c>
      <c r="D52" s="8">
        <v>3</v>
      </c>
      <c r="E52" s="8">
        <v>5</v>
      </c>
      <c r="F52" s="16">
        <v>4.8220999999999998</v>
      </c>
      <c r="G52" s="37">
        <f t="shared" si="50"/>
        <v>528</v>
      </c>
      <c r="H52" s="8">
        <v>1</v>
      </c>
      <c r="I52" s="8">
        <v>2</v>
      </c>
      <c r="L52" s="8">
        <v>1</v>
      </c>
      <c r="N52" s="8">
        <v>36</v>
      </c>
      <c r="O52" s="37">
        <v>22</v>
      </c>
      <c r="P52" s="8">
        <v>2</v>
      </c>
      <c r="Q52" s="15">
        <f>IF(Z52&gt;0,G52+F52*Z52,0)</f>
        <v>9106.5159000000003</v>
      </c>
      <c r="R52" s="15">
        <f>IF(Q52&gt;C52,C52,Q52)</f>
        <v>2825</v>
      </c>
      <c r="U52" s="37">
        <f>R52+S52</f>
        <v>2825</v>
      </c>
      <c r="V52" s="37">
        <f t="shared" si="52"/>
        <v>81347.748532242535</v>
      </c>
      <c r="W52" s="17">
        <v>-0.3322</v>
      </c>
      <c r="Y52" s="18">
        <v>1712</v>
      </c>
      <c r="Z52" s="18">
        <v>1779</v>
      </c>
      <c r="AB52" s="18">
        <f>Y52</f>
        <v>1712</v>
      </c>
      <c r="AC52" s="18">
        <f>Z52</f>
        <v>1779</v>
      </c>
      <c r="AD52" s="17">
        <f>IF(AND(ISNUMBER(Y52), Y52&gt;0), (Z52-Y52)/Y52, "")</f>
        <v>3.9135514018691586E-2</v>
      </c>
      <c r="AF52" s="15">
        <f>SUMIF(A:A,A52,U:U)</f>
        <v>174647.74853224255</v>
      </c>
      <c r="AG52" s="17">
        <v>6.0199999999999997E-2</v>
      </c>
      <c r="AH52" s="15">
        <v>24655</v>
      </c>
      <c r="AI52" s="15">
        <v>25536</v>
      </c>
      <c r="AJ52" s="17">
        <f>(AI52-AH52)/AH52</f>
        <v>3.5733117014804298E-2</v>
      </c>
      <c r="AK52" s="15">
        <v>19018</v>
      </c>
      <c r="AL52" s="15">
        <v>16751</v>
      </c>
      <c r="AM52" s="17">
        <f>(AL52-AK52)/AK52</f>
        <v>-0.11920286044799663</v>
      </c>
      <c r="AN52" s="15">
        <v>13818</v>
      </c>
      <c r="AO52" s="15">
        <v>15620</v>
      </c>
      <c r="AP52" s="17">
        <f>(AO52-AN52)/AN52</f>
        <v>0.13040961065277173</v>
      </c>
      <c r="AQ52" s="20" t="e">
        <f>AK52-#REF!</f>
        <v>#REF!</v>
      </c>
      <c r="AR52" s="20" t="e">
        <f>AL52-#REF!</f>
        <v>#REF!</v>
      </c>
      <c r="AS52" s="17" t="e">
        <f>(AR52-AQ52)/AQ52</f>
        <v>#REF!</v>
      </c>
      <c r="AT52" s="21">
        <v>80</v>
      </c>
      <c r="AU52" s="21">
        <v>83</v>
      </c>
    </row>
    <row r="53" spans="1:47" x14ac:dyDescent="0.35">
      <c r="A53" s="8" t="s">
        <v>48</v>
      </c>
      <c r="B53" s="36" t="s">
        <v>64</v>
      </c>
      <c r="D53" s="8">
        <v>3</v>
      </c>
      <c r="E53" s="8">
        <v>5</v>
      </c>
      <c r="F53" s="16">
        <v>4.8220999999999998</v>
      </c>
      <c r="G53" s="37">
        <f t="shared" si="50"/>
        <v>1906.6666666666667</v>
      </c>
      <c r="H53" s="8">
        <v>2</v>
      </c>
      <c r="I53" s="8">
        <v>5</v>
      </c>
      <c r="M53" s="8">
        <v>2</v>
      </c>
      <c r="N53" s="8">
        <v>13</v>
      </c>
      <c r="O53" s="37">
        <v>22</v>
      </c>
      <c r="P53" s="8">
        <v>2</v>
      </c>
      <c r="AJ53" s="17"/>
      <c r="AM53" s="17"/>
      <c r="AP53" s="17"/>
      <c r="AQ53" s="20"/>
      <c r="AR53" s="20"/>
      <c r="AS53" s="17"/>
      <c r="AU53" s="21"/>
    </row>
    <row r="54" spans="1:47" x14ac:dyDescent="0.35">
      <c r="A54" s="22" t="s">
        <v>60</v>
      </c>
      <c r="B54" s="22" t="s">
        <v>86</v>
      </c>
      <c r="C54" s="23">
        <v>146270</v>
      </c>
      <c r="D54" s="23"/>
      <c r="E54" s="23"/>
      <c r="F54" s="23"/>
      <c r="G54" s="38"/>
      <c r="H54" s="22"/>
      <c r="I54" s="22"/>
      <c r="J54" s="22"/>
      <c r="K54" s="22"/>
      <c r="L54" s="22"/>
      <c r="M54" s="22"/>
      <c r="N54" s="22"/>
      <c r="O54" s="38"/>
      <c r="P54" s="22"/>
      <c r="Q54" s="23">
        <f>SUM(Q43:Q52)</f>
        <v>130727.42773333332</v>
      </c>
      <c r="R54" s="23">
        <f>SUM(R43:R53)</f>
        <v>114151.27766666666</v>
      </c>
      <c r="S54" s="23">
        <f>SUM(S43:S52)</f>
        <v>13000</v>
      </c>
      <c r="T54" s="23"/>
      <c r="U54" s="23">
        <f>SUM(U43:U53)</f>
        <v>127151.27766666666</v>
      </c>
      <c r="V54" s="23">
        <f>SUM(V43:V52)</f>
        <v>1048023.1413831048</v>
      </c>
      <c r="W54" s="24" t="e">
        <f>IF(#REF!&gt;0,(#REF!-#REF!)/#REF!,"")</f>
        <v>#REF!</v>
      </c>
      <c r="X54" s="24"/>
      <c r="Y54" s="25">
        <f>SUM(Y43:Y52)</f>
        <v>24933</v>
      </c>
      <c r="Z54" s="25">
        <f>SUM(Z43:Z52)</f>
        <v>31660</v>
      </c>
      <c r="AA54" s="25"/>
      <c r="AB54" s="25">
        <f>SUM(AB43:AB52)</f>
        <v>24933</v>
      </c>
      <c r="AC54" s="25">
        <f>SUM(AC43:AC52)</f>
        <v>31660</v>
      </c>
      <c r="AD54" s="24">
        <f>IF(Y54&gt;0,(Z54-Y54)/Y54,"")</f>
        <v>0.26980307223358602</v>
      </c>
      <c r="AE54" s="23">
        <f>SUM(AE43:AE52)</f>
        <v>-17356</v>
      </c>
      <c r="AF54" s="23">
        <f>SUM(AF43:AF52)</f>
        <v>1186014.0282762425</v>
      </c>
      <c r="AG54" s="24"/>
      <c r="AH54" s="23">
        <f>SUM(AH43:AH52)</f>
        <v>252154</v>
      </c>
      <c r="AI54" s="23">
        <f>SUM(AI43:AI52)</f>
        <v>276576</v>
      </c>
      <c r="AJ54" s="24">
        <f>(AI54-AH54)/AH54</f>
        <v>9.6853510156491671E-2</v>
      </c>
      <c r="AK54" s="23">
        <f>SUM(AK43:AK52)</f>
        <v>243143</v>
      </c>
      <c r="AL54" s="23">
        <f>SUM(AL43:AL52)</f>
        <v>256633</v>
      </c>
      <c r="AM54" s="24">
        <f>(AL54-AK54)/AK54</f>
        <v>5.5481753535984994E-2</v>
      </c>
      <c r="AN54" s="23">
        <f>SUM(AN43:AN52)</f>
        <v>170332</v>
      </c>
      <c r="AO54" s="23">
        <f>SUM(AO43:AO52)</f>
        <v>176993</v>
      </c>
      <c r="AP54" s="24">
        <f>(AO54-AN54)/AN54</f>
        <v>3.9105981260127279E-2</v>
      </c>
      <c r="AQ54" s="20" t="e">
        <f>AK54-#REF!</f>
        <v>#REF!</v>
      </c>
      <c r="AR54" s="20" t="e">
        <f>AL54-#REF!</f>
        <v>#REF!</v>
      </c>
      <c r="AS54" s="24" t="e">
        <f>(AR54-AQ54)/AQ54</f>
        <v>#REF!</v>
      </c>
      <c r="AT54" s="26"/>
      <c r="AU54" s="21"/>
    </row>
    <row r="55" spans="1:47" x14ac:dyDescent="0.35">
      <c r="A55" s="9" t="s">
        <v>87</v>
      </c>
      <c r="B55" s="10"/>
      <c r="C55" s="11"/>
      <c r="D55" s="10"/>
      <c r="E55" s="10"/>
      <c r="F55" s="10"/>
      <c r="G55" s="35"/>
      <c r="H55" s="10"/>
      <c r="I55" s="10"/>
      <c r="J55" s="10"/>
      <c r="K55" s="10"/>
      <c r="L55" s="10"/>
      <c r="M55" s="10"/>
      <c r="N55" s="10"/>
      <c r="O55" s="35"/>
      <c r="P55" s="10"/>
      <c r="Q55" s="11"/>
      <c r="R55" s="11" t="e">
        <f>IF(ROUNDDOWN((R54-#REF!)/#REF!*100,0)&gt;0,"+"&amp;ROUNDDOWN((R54-#REF!)/#REF!*100,0)&amp;"% /2025",ROUNDDOWN((R54-#REF!)/#REF!*100,0)&amp;"% /2025")</f>
        <v>#REF!</v>
      </c>
      <c r="S55" s="11"/>
      <c r="T55" s="11"/>
      <c r="U55" s="11"/>
      <c r="V55" s="11"/>
      <c r="W55" s="12"/>
      <c r="X55" s="12"/>
      <c r="Y55" s="13"/>
      <c r="Z55" s="13"/>
      <c r="AA55" s="13"/>
      <c r="AB55" s="13"/>
      <c r="AC55" s="13"/>
      <c r="AD55" s="12"/>
      <c r="AE55" s="11"/>
      <c r="AF55" s="11"/>
      <c r="AG55" s="12"/>
      <c r="AH55" s="11"/>
      <c r="AI55" s="11"/>
      <c r="AJ55" s="12"/>
      <c r="AK55" s="11"/>
      <c r="AL55" s="11"/>
      <c r="AM55" s="12"/>
      <c r="AN55" s="11"/>
      <c r="AO55" s="11"/>
      <c r="AP55" s="12"/>
      <c r="AQ55" s="12"/>
      <c r="AR55" s="12"/>
      <c r="AS55" s="12"/>
      <c r="AT55" s="14"/>
      <c r="AU55" s="21"/>
    </row>
    <row r="56" spans="1:47" x14ac:dyDescent="0.35">
      <c r="A56" s="8" t="s">
        <v>62</v>
      </c>
      <c r="B56" s="36" t="s">
        <v>88</v>
      </c>
      <c r="C56" s="15">
        <v>23600</v>
      </c>
      <c r="D56" s="8">
        <v>0.7</v>
      </c>
      <c r="E56" s="8">
        <v>0.7</v>
      </c>
      <c r="F56" s="16">
        <v>0.7</v>
      </c>
      <c r="G56" s="37">
        <f t="shared" ref="G56:G70" si="54">(H56*I56*(J56+K56+L56+M56)*N56*O56)/(P56+1)</f>
        <v>0</v>
      </c>
      <c r="Q56" s="15">
        <f>IF(Z56&gt;0,G56+F56*Z56,0)</f>
        <v>24318.699999999997</v>
      </c>
      <c r="R56" s="15">
        <f t="shared" ref="R56:R70" si="55">IF(Q56&gt;C56,C56,Q56)</f>
        <v>23600</v>
      </c>
      <c r="U56" s="15">
        <f t="shared" ref="U56:U70" si="56">R56+S56</f>
        <v>23600</v>
      </c>
      <c r="V56" s="15">
        <f>SUMIF(B:B,B56,U:U)</f>
        <v>23600</v>
      </c>
      <c r="W56" s="17">
        <v>1.6400000000000001E-2</v>
      </c>
      <c r="Y56" s="18">
        <f>23899+9116</f>
        <v>33015</v>
      </c>
      <c r="Z56" s="29">
        <f>25625+9116</f>
        <v>34741</v>
      </c>
      <c r="AB56" s="18">
        <f t="shared" ref="AB56:AC61" si="57">SUMIF($B:$B,$B56,Y:Y)</f>
        <v>33015</v>
      </c>
      <c r="AC56" s="18">
        <f t="shared" si="57"/>
        <v>34741</v>
      </c>
      <c r="AD56" s="17">
        <f>IF(AND(ISNUMBER(Y56), Y56&gt;0), (Z56-Y56)/Y56, "")</f>
        <v>5.2279266999848556E-2</v>
      </c>
      <c r="AF56" s="15">
        <f t="shared" ref="AF56:AF70" si="58">SUMIF(A:A,A56,U:U)</f>
        <v>165097.85460949998</v>
      </c>
      <c r="AG56" s="17">
        <v>0.12939999999999999</v>
      </c>
      <c r="AH56" s="15">
        <v>74120</v>
      </c>
      <c r="AI56" s="15">
        <v>67769</v>
      </c>
      <c r="AJ56" s="17">
        <f t="shared" ref="AJ56:AJ62" si="59">(AI56-AH56)/AH56</f>
        <v>-8.5685375067458172E-2</v>
      </c>
      <c r="AK56" s="15">
        <v>71092</v>
      </c>
      <c r="AL56" s="15">
        <v>67769</v>
      </c>
      <c r="AM56" s="17">
        <f t="shared" ref="AM56:AM62" si="60">(AL56-AK56)/AK56</f>
        <v>-4.674224947954763E-2</v>
      </c>
      <c r="AN56" s="15">
        <v>52728</v>
      </c>
      <c r="AO56" s="15">
        <v>50779</v>
      </c>
      <c r="AP56" s="17">
        <f t="shared" ref="AP56:AP62" si="61">(AO56-AN56)/AN56</f>
        <v>-3.6963283265058412E-2</v>
      </c>
      <c r="AQ56" s="20" t="e">
        <f>AK56-#REF!</f>
        <v>#REF!</v>
      </c>
      <c r="AR56" s="20" t="e">
        <f>AL56-#REF!</f>
        <v>#REF!</v>
      </c>
      <c r="AS56" s="17" t="e">
        <f t="shared" ref="AS56:AS62" si="62">(AR56-AQ56)/AQ56</f>
        <v>#REF!</v>
      </c>
      <c r="AT56" s="21">
        <v>166</v>
      </c>
      <c r="AU56" s="21">
        <v>166</v>
      </c>
    </row>
    <row r="57" spans="1:47" x14ac:dyDescent="0.35">
      <c r="A57" s="8" t="s">
        <v>50</v>
      </c>
      <c r="B57" s="36" t="s">
        <v>89</v>
      </c>
      <c r="C57" s="15">
        <v>66100</v>
      </c>
      <c r="D57" s="8">
        <v>0.7</v>
      </c>
      <c r="E57" s="8">
        <v>0.7</v>
      </c>
      <c r="F57" s="16">
        <v>0.7</v>
      </c>
      <c r="G57" s="37">
        <f t="shared" si="54"/>
        <v>0</v>
      </c>
      <c r="Q57" s="15">
        <f>IF(Z57&gt;0,G57+F57*Z57,0)</f>
        <v>69300</v>
      </c>
      <c r="R57" s="15">
        <f t="shared" si="55"/>
        <v>66100</v>
      </c>
      <c r="U57" s="15">
        <f t="shared" si="56"/>
        <v>66100</v>
      </c>
      <c r="V57" s="15">
        <f>SUMIF(B:B,B57,U:U)</f>
        <v>66100</v>
      </c>
      <c r="W57" s="17">
        <v>0</v>
      </c>
      <c r="Y57" s="18">
        <v>94000</v>
      </c>
      <c r="Z57" s="8">
        <v>99000</v>
      </c>
      <c r="AB57" s="18">
        <f t="shared" si="57"/>
        <v>94000</v>
      </c>
      <c r="AC57" s="18">
        <f t="shared" si="57"/>
        <v>99000</v>
      </c>
      <c r="AD57" s="17">
        <f>IF(AND(ISNUMBER(Y57), Y57&gt;0), (Z57-Y57)/Y57, "")</f>
        <v>5.3191489361702128E-2</v>
      </c>
      <c r="AF57" s="15">
        <f t="shared" si="58"/>
        <v>688483.76834133326</v>
      </c>
      <c r="AG57" s="17">
        <v>0</v>
      </c>
      <c r="AH57" s="15">
        <v>179143</v>
      </c>
      <c r="AI57" s="15">
        <v>174000</v>
      </c>
      <c r="AJ57" s="17">
        <f t="shared" si="59"/>
        <v>-2.8708908525591288E-2</v>
      </c>
      <c r="AK57" s="15">
        <v>181864</v>
      </c>
      <c r="AL57" s="15">
        <v>175300</v>
      </c>
      <c r="AM57" s="17">
        <f t="shared" si="60"/>
        <v>-3.609290458804381E-2</v>
      </c>
      <c r="AN57" s="15">
        <v>116249</v>
      </c>
      <c r="AO57" s="15">
        <v>118200</v>
      </c>
      <c r="AP57" s="17">
        <f t="shared" si="61"/>
        <v>1.6782940068301663E-2</v>
      </c>
      <c r="AQ57" s="20" t="e">
        <f>AK57-#REF!</f>
        <v>#REF!</v>
      </c>
      <c r="AR57" s="20" t="e">
        <f>AL57-#REF!</f>
        <v>#REF!</v>
      </c>
      <c r="AS57" s="17" t="e">
        <f t="shared" si="62"/>
        <v>#REF!</v>
      </c>
      <c r="AT57" s="21">
        <v>35</v>
      </c>
      <c r="AU57" s="21">
        <v>297</v>
      </c>
    </row>
    <row r="58" spans="1:47" x14ac:dyDescent="0.35">
      <c r="A58" s="8" t="s">
        <v>90</v>
      </c>
      <c r="B58" s="36" t="s">
        <v>91</v>
      </c>
      <c r="C58" s="15">
        <v>500</v>
      </c>
      <c r="D58" s="8">
        <v>1</v>
      </c>
      <c r="E58" s="8">
        <v>1</v>
      </c>
      <c r="F58" s="16">
        <v>1</v>
      </c>
      <c r="G58" s="37">
        <f t="shared" si="54"/>
        <v>0</v>
      </c>
      <c r="J58" s="37"/>
      <c r="Q58" s="15">
        <f>IF(Z58&gt;0,G58+F58*Z58,0)</f>
        <v>0</v>
      </c>
      <c r="R58" s="15">
        <f t="shared" si="55"/>
        <v>0</v>
      </c>
      <c r="U58" s="15">
        <f t="shared" si="56"/>
        <v>0</v>
      </c>
      <c r="V58" s="15">
        <f>SUMIF(B:B,B58,U:U)</f>
        <v>0</v>
      </c>
      <c r="W58" s="17">
        <v>0</v>
      </c>
      <c r="X58" s="15" t="s">
        <v>92</v>
      </c>
      <c r="AB58" s="18">
        <f t="shared" si="57"/>
        <v>0</v>
      </c>
      <c r="AC58" s="18">
        <f t="shared" si="57"/>
        <v>0</v>
      </c>
      <c r="AD58" s="17" t="str">
        <f>IF(AND(ISNUMBER(Y58), Y58&gt;0), (Z58-Y58)/Y58, "")</f>
        <v/>
      </c>
      <c r="AF58" s="15">
        <f t="shared" si="58"/>
        <v>0</v>
      </c>
      <c r="AG58" s="17">
        <v>0</v>
      </c>
      <c r="AJ58" s="17" t="e">
        <f t="shared" si="59"/>
        <v>#DIV/0!</v>
      </c>
      <c r="AM58" s="17" t="e">
        <f t="shared" si="60"/>
        <v>#DIV/0!</v>
      </c>
      <c r="AP58" s="17" t="e">
        <f t="shared" si="61"/>
        <v>#DIV/0!</v>
      </c>
      <c r="AQ58" s="20" t="e">
        <f>AK58-#REF!</f>
        <v>#REF!</v>
      </c>
      <c r="AR58" s="20" t="e">
        <f>AL58-#REF!</f>
        <v>#REF!</v>
      </c>
      <c r="AS58" s="17" t="e">
        <f t="shared" si="62"/>
        <v>#REF!</v>
      </c>
      <c r="AU58" s="21"/>
    </row>
    <row r="59" spans="1:47" x14ac:dyDescent="0.35">
      <c r="A59" s="8" t="s">
        <v>84</v>
      </c>
      <c r="B59" s="36" t="s">
        <v>93</v>
      </c>
      <c r="C59" s="15">
        <v>37296</v>
      </c>
      <c r="D59" s="8">
        <v>1</v>
      </c>
      <c r="E59" s="8">
        <v>1</v>
      </c>
      <c r="F59" s="16">
        <v>1</v>
      </c>
      <c r="G59" s="37">
        <f t="shared" si="54"/>
        <v>0</v>
      </c>
      <c r="Q59" s="15">
        <f>IF(Z59&gt;0,G59+F59*Z59,0)</f>
        <v>16447</v>
      </c>
      <c r="R59" s="15">
        <f t="shared" si="55"/>
        <v>16447</v>
      </c>
      <c r="U59" s="15">
        <f t="shared" si="56"/>
        <v>16447</v>
      </c>
      <c r="V59" s="15">
        <f t="shared" ref="V59:V70" si="63">SUMIF(B:B,B59,U:U)</f>
        <v>16447</v>
      </c>
      <c r="W59" s="17">
        <v>0.77410000000000001</v>
      </c>
      <c r="Z59" s="8">
        <v>16447</v>
      </c>
      <c r="AB59" s="18">
        <f t="shared" si="57"/>
        <v>0</v>
      </c>
      <c r="AC59" s="18">
        <f t="shared" si="57"/>
        <v>16447</v>
      </c>
      <c r="AD59" s="17" t="str">
        <f>IF(AND(ISNUMBER(Y59), Y59&gt;0), (Z59-Y59)/Y59, "")</f>
        <v/>
      </c>
      <c r="AE59" s="15">
        <v>11554</v>
      </c>
      <c r="AF59" s="15">
        <f t="shared" si="58"/>
        <v>50600</v>
      </c>
      <c r="AG59" s="17">
        <v>0.30959999999999999</v>
      </c>
      <c r="AH59" s="15">
        <v>61123</v>
      </c>
      <c r="AI59" s="15">
        <v>76530</v>
      </c>
      <c r="AJ59" s="17">
        <f t="shared" si="59"/>
        <v>0.25206550725586113</v>
      </c>
      <c r="AK59" s="15">
        <v>72677</v>
      </c>
      <c r="AL59" s="15">
        <v>76530</v>
      </c>
      <c r="AM59" s="17">
        <f t="shared" si="60"/>
        <v>5.3015396893102355E-2</v>
      </c>
      <c r="AN59" s="15">
        <v>40261</v>
      </c>
      <c r="AO59" s="15">
        <v>42000</v>
      </c>
      <c r="AP59" s="17">
        <f t="shared" si="61"/>
        <v>4.3193164600978613E-2</v>
      </c>
      <c r="AQ59" s="20" t="e">
        <f>AK59-#REF!</f>
        <v>#REF!</v>
      </c>
      <c r="AR59" s="20" t="e">
        <f>AL59-#REF!</f>
        <v>#REF!</v>
      </c>
      <c r="AS59" s="17" t="e">
        <f t="shared" si="62"/>
        <v>#REF!</v>
      </c>
      <c r="AT59" s="21">
        <v>136</v>
      </c>
      <c r="AU59" s="21">
        <v>278</v>
      </c>
    </row>
    <row r="60" spans="1:47" x14ac:dyDescent="0.35">
      <c r="A60" s="8" t="s">
        <v>50</v>
      </c>
      <c r="B60" s="36" t="s">
        <v>94</v>
      </c>
      <c r="C60" s="15">
        <v>41225</v>
      </c>
      <c r="F60" s="16"/>
      <c r="G60" s="37">
        <f t="shared" si="54"/>
        <v>20020</v>
      </c>
      <c r="H60" s="8">
        <v>1</v>
      </c>
      <c r="I60" s="8">
        <v>7</v>
      </c>
      <c r="M60" s="8">
        <v>5</v>
      </c>
      <c r="N60" s="8">
        <v>52</v>
      </c>
      <c r="O60" s="37">
        <v>22</v>
      </c>
      <c r="P60" s="8">
        <v>1</v>
      </c>
      <c r="Q60" s="15">
        <f>22*7*5*52/2</f>
        <v>20020</v>
      </c>
      <c r="R60" s="15">
        <f t="shared" si="55"/>
        <v>20020</v>
      </c>
      <c r="S60" s="15">
        <v>-740</v>
      </c>
      <c r="T60" s="15" t="s">
        <v>95</v>
      </c>
      <c r="U60" s="15">
        <f t="shared" si="56"/>
        <v>19280</v>
      </c>
      <c r="V60" s="15">
        <f t="shared" si="63"/>
        <v>19280</v>
      </c>
      <c r="Z60" s="8">
        <v>0</v>
      </c>
      <c r="AB60" s="18">
        <f t="shared" si="57"/>
        <v>0</v>
      </c>
      <c r="AC60" s="18">
        <f t="shared" si="57"/>
        <v>0</v>
      </c>
      <c r="AE60" s="15">
        <v>39389</v>
      </c>
      <c r="AF60" s="15">
        <f t="shared" si="58"/>
        <v>688483.76834133326</v>
      </c>
      <c r="AG60" s="17">
        <v>0.30959999999999999</v>
      </c>
      <c r="AH60" s="15">
        <v>344364</v>
      </c>
      <c r="AI60" s="15">
        <v>389900</v>
      </c>
      <c r="AJ60" s="17">
        <f t="shared" si="59"/>
        <v>0.13223217293329151</v>
      </c>
      <c r="AK60" s="15">
        <v>383753</v>
      </c>
      <c r="AL60" s="15">
        <v>393215</v>
      </c>
      <c r="AM60" s="17">
        <f t="shared" si="60"/>
        <v>2.4656484770151633E-2</v>
      </c>
      <c r="AN60" s="15">
        <v>188311</v>
      </c>
      <c r="AO60" s="15">
        <v>235000</v>
      </c>
      <c r="AP60" s="17">
        <f t="shared" si="61"/>
        <v>0.24793559590252295</v>
      </c>
      <c r="AQ60" s="20">
        <f>383753-107000</f>
        <v>276753</v>
      </c>
      <c r="AR60" s="20">
        <f>396015-80000</f>
        <v>316015</v>
      </c>
      <c r="AS60" s="17">
        <f t="shared" si="62"/>
        <v>0.14186657416541104</v>
      </c>
      <c r="AT60" s="21">
        <f>246328/344365*365</f>
        <v>261.08843813976449</v>
      </c>
      <c r="AU60" s="21">
        <f>(250430-93478)/344365*365</f>
        <v>166.35685972732421</v>
      </c>
    </row>
    <row r="61" spans="1:47" x14ac:dyDescent="0.35">
      <c r="A61" s="8" t="s">
        <v>50</v>
      </c>
      <c r="B61" s="36" t="s">
        <v>96</v>
      </c>
      <c r="C61" s="15">
        <v>14200</v>
      </c>
      <c r="F61" s="16"/>
      <c r="G61" s="37">
        <f t="shared" si="54"/>
        <v>20020</v>
      </c>
      <c r="H61" s="8">
        <v>1</v>
      </c>
      <c r="I61" s="8">
        <v>7</v>
      </c>
      <c r="M61" s="8">
        <v>5</v>
      </c>
      <c r="N61" s="8">
        <v>52</v>
      </c>
      <c r="O61" s="37">
        <v>22</v>
      </c>
      <c r="P61" s="8">
        <v>1</v>
      </c>
      <c r="Q61" s="15">
        <f>22*7*5*52/2</f>
        <v>20020</v>
      </c>
      <c r="R61" s="15">
        <f t="shared" si="55"/>
        <v>14200</v>
      </c>
      <c r="U61" s="15">
        <f t="shared" si="56"/>
        <v>14200</v>
      </c>
      <c r="V61" s="15">
        <f t="shared" si="63"/>
        <v>14200</v>
      </c>
      <c r="X61" s="17" t="s">
        <v>97</v>
      </c>
      <c r="Z61" s="8">
        <v>0</v>
      </c>
      <c r="AB61" s="18">
        <f t="shared" si="57"/>
        <v>0</v>
      </c>
      <c r="AC61" s="18">
        <f t="shared" si="57"/>
        <v>0</v>
      </c>
      <c r="AE61" s="15">
        <v>39389</v>
      </c>
      <c r="AF61" s="15">
        <f t="shared" si="58"/>
        <v>688483.76834133326</v>
      </c>
      <c r="AG61" s="17">
        <v>0.30959999999999999</v>
      </c>
      <c r="AH61" s="15">
        <v>344364</v>
      </c>
      <c r="AI61" s="15">
        <v>389900</v>
      </c>
      <c r="AJ61" s="17">
        <f t="shared" si="59"/>
        <v>0.13223217293329151</v>
      </c>
      <c r="AK61" s="15">
        <v>383753</v>
      </c>
      <c r="AL61" s="15">
        <v>393215</v>
      </c>
      <c r="AM61" s="17">
        <f t="shared" si="60"/>
        <v>2.4656484770151633E-2</v>
      </c>
      <c r="AN61" s="15">
        <v>188311</v>
      </c>
      <c r="AO61" s="15">
        <v>235000</v>
      </c>
      <c r="AP61" s="17">
        <f t="shared" si="61"/>
        <v>0.24793559590252295</v>
      </c>
      <c r="AQ61" s="20">
        <f>383753-107000</f>
        <v>276753</v>
      </c>
      <c r="AR61" s="20">
        <f>396015-80000</f>
        <v>316015</v>
      </c>
      <c r="AS61" s="17">
        <f t="shared" si="62"/>
        <v>0.14186657416541104</v>
      </c>
      <c r="AT61" s="21">
        <f>246328/344365*365</f>
        <v>261.08843813976449</v>
      </c>
      <c r="AU61" s="21">
        <f>(250430-93478)/344365*365</f>
        <v>166.35685972732421</v>
      </c>
    </row>
    <row r="62" spans="1:47" x14ac:dyDescent="0.35">
      <c r="A62" s="8" t="s">
        <v>50</v>
      </c>
      <c r="B62" s="36" t="s">
        <v>98</v>
      </c>
      <c r="C62" s="15">
        <v>24575</v>
      </c>
      <c r="F62" s="16">
        <v>1</v>
      </c>
      <c r="G62" s="37">
        <f t="shared" si="54"/>
        <v>20020</v>
      </c>
      <c r="H62" s="8">
        <v>1</v>
      </c>
      <c r="I62" s="8">
        <v>7</v>
      </c>
      <c r="M62" s="8">
        <v>5</v>
      </c>
      <c r="N62" s="8">
        <v>52</v>
      </c>
      <c r="O62" s="37">
        <v>22</v>
      </c>
      <c r="P62" s="8">
        <v>1</v>
      </c>
      <c r="Q62" s="15">
        <f>22*7*5*52/2*2/2</f>
        <v>20020</v>
      </c>
      <c r="R62" s="15">
        <f t="shared" si="55"/>
        <v>20020</v>
      </c>
      <c r="U62" s="15">
        <f t="shared" si="56"/>
        <v>20020</v>
      </c>
      <c r="V62" s="15">
        <f t="shared" si="63"/>
        <v>20020</v>
      </c>
      <c r="Z62" s="8">
        <v>32000</v>
      </c>
      <c r="AE62" s="15">
        <v>39389</v>
      </c>
      <c r="AF62" s="15">
        <f t="shared" si="58"/>
        <v>688483.76834133326</v>
      </c>
      <c r="AG62" s="17">
        <v>0.30959999999999999</v>
      </c>
      <c r="AH62" s="15">
        <v>344364</v>
      </c>
      <c r="AI62" s="15">
        <v>389900</v>
      </c>
      <c r="AJ62" s="17">
        <f t="shared" si="59"/>
        <v>0.13223217293329151</v>
      </c>
      <c r="AK62" s="15">
        <v>383753</v>
      </c>
      <c r="AL62" s="15">
        <v>393215</v>
      </c>
      <c r="AM62" s="17">
        <f t="shared" si="60"/>
        <v>2.4656484770151633E-2</v>
      </c>
      <c r="AN62" s="15">
        <v>188311</v>
      </c>
      <c r="AO62" s="15">
        <v>235000</v>
      </c>
      <c r="AP62" s="17">
        <f t="shared" si="61"/>
        <v>0.24793559590252295</v>
      </c>
      <c r="AQ62" s="20">
        <f>383753-107000</f>
        <v>276753</v>
      </c>
      <c r="AR62" s="20">
        <f>396015-80000</f>
        <v>316015</v>
      </c>
      <c r="AS62" s="17">
        <f t="shared" si="62"/>
        <v>0.14186657416541104</v>
      </c>
      <c r="AT62" s="21">
        <f>246328/344365*365</f>
        <v>261.08843813976449</v>
      </c>
      <c r="AU62" s="21">
        <f>(250430-93478)/344365*365</f>
        <v>166.35685972732421</v>
      </c>
    </row>
    <row r="63" spans="1:47" x14ac:dyDescent="0.35">
      <c r="A63" s="8" t="s">
        <v>50</v>
      </c>
      <c r="B63" s="36" t="s">
        <v>99</v>
      </c>
      <c r="C63" s="15">
        <v>31540</v>
      </c>
      <c r="F63" s="16"/>
      <c r="G63" s="37">
        <f t="shared" si="54"/>
        <v>0</v>
      </c>
      <c r="Q63" s="15">
        <v>31540</v>
      </c>
      <c r="R63" s="15">
        <f t="shared" si="55"/>
        <v>31540</v>
      </c>
      <c r="U63" s="15">
        <f t="shared" si="56"/>
        <v>31540</v>
      </c>
      <c r="V63" s="15">
        <f t="shared" si="63"/>
        <v>31540</v>
      </c>
      <c r="Z63" s="8"/>
      <c r="AF63" s="15">
        <f t="shared" si="58"/>
        <v>688483.76834133326</v>
      </c>
      <c r="AJ63" s="17"/>
      <c r="AM63" s="17"/>
      <c r="AP63" s="17"/>
      <c r="AQ63" s="20"/>
      <c r="AR63" s="20"/>
      <c r="AS63" s="17"/>
      <c r="AU63" s="21"/>
    </row>
    <row r="64" spans="1:47" x14ac:dyDescent="0.35">
      <c r="A64" s="8" t="s">
        <v>50</v>
      </c>
      <c r="B64" s="36" t="s">
        <v>100</v>
      </c>
      <c r="C64" s="15">
        <v>1500</v>
      </c>
      <c r="F64" s="16"/>
      <c r="G64" s="37">
        <f t="shared" si="54"/>
        <v>0</v>
      </c>
      <c r="Q64" s="15">
        <v>0</v>
      </c>
      <c r="R64" s="15">
        <f t="shared" si="55"/>
        <v>0</v>
      </c>
      <c r="U64" s="15">
        <f t="shared" si="56"/>
        <v>0</v>
      </c>
      <c r="V64" s="15">
        <f t="shared" si="63"/>
        <v>0</v>
      </c>
      <c r="X64" s="17" t="s">
        <v>101</v>
      </c>
      <c r="Z64" s="8"/>
      <c r="AF64" s="15">
        <f t="shared" si="58"/>
        <v>688483.76834133326</v>
      </c>
      <c r="AJ64" s="17"/>
      <c r="AM64" s="17"/>
      <c r="AP64" s="17"/>
      <c r="AQ64" s="20"/>
      <c r="AR64" s="20"/>
      <c r="AS64" s="17"/>
      <c r="AU64" s="21"/>
    </row>
    <row r="65" spans="1:47" x14ac:dyDescent="0.35">
      <c r="A65" s="8" t="s">
        <v>50</v>
      </c>
      <c r="B65" s="36" t="s">
        <v>102</v>
      </c>
      <c r="C65" s="15">
        <v>2600</v>
      </c>
      <c r="F65" s="16"/>
      <c r="G65" s="37">
        <f t="shared" si="54"/>
        <v>0</v>
      </c>
      <c r="Q65" s="15">
        <v>500</v>
      </c>
      <c r="R65" s="15">
        <f t="shared" si="55"/>
        <v>500</v>
      </c>
      <c r="U65" s="15">
        <f t="shared" si="56"/>
        <v>500</v>
      </c>
      <c r="V65" s="15">
        <f t="shared" si="63"/>
        <v>500</v>
      </c>
      <c r="X65" s="17" t="s">
        <v>103</v>
      </c>
      <c r="Z65" s="8"/>
      <c r="AF65" s="15">
        <f t="shared" si="58"/>
        <v>688483.76834133326</v>
      </c>
      <c r="AJ65" s="17"/>
      <c r="AM65" s="17"/>
      <c r="AP65" s="17"/>
      <c r="AQ65" s="20"/>
      <c r="AR65" s="20"/>
      <c r="AS65" s="17"/>
      <c r="AU65" s="21"/>
    </row>
    <row r="66" spans="1:47" x14ac:dyDescent="0.35">
      <c r="A66" s="8" t="s">
        <v>50</v>
      </c>
      <c r="B66" s="36" t="s">
        <v>104</v>
      </c>
      <c r="C66" s="15">
        <v>0</v>
      </c>
      <c r="F66" s="16"/>
      <c r="G66" s="37">
        <f t="shared" si="54"/>
        <v>0</v>
      </c>
      <c r="Q66" s="15">
        <v>0</v>
      </c>
      <c r="R66" s="15">
        <f t="shared" si="55"/>
        <v>0</v>
      </c>
      <c r="U66" s="15">
        <f t="shared" si="56"/>
        <v>0</v>
      </c>
      <c r="V66" s="15">
        <f t="shared" si="63"/>
        <v>0</v>
      </c>
      <c r="X66" s="17" t="s">
        <v>105</v>
      </c>
      <c r="Z66" s="8"/>
      <c r="AF66" s="15">
        <f t="shared" si="58"/>
        <v>688483.76834133326</v>
      </c>
      <c r="AJ66" s="17"/>
      <c r="AM66" s="17"/>
      <c r="AP66" s="17"/>
      <c r="AQ66" s="20"/>
      <c r="AR66" s="20"/>
      <c r="AS66" s="17"/>
      <c r="AU66" s="21"/>
    </row>
    <row r="67" spans="1:47" x14ac:dyDescent="0.35">
      <c r="A67" s="8" t="s">
        <v>50</v>
      </c>
      <c r="B67" s="36" t="s">
        <v>106</v>
      </c>
      <c r="C67" s="15">
        <v>6000</v>
      </c>
      <c r="F67" s="16"/>
      <c r="G67" s="37">
        <f t="shared" si="54"/>
        <v>0</v>
      </c>
      <c r="Q67" s="15">
        <v>1500</v>
      </c>
      <c r="R67" s="15">
        <f t="shared" si="55"/>
        <v>1500</v>
      </c>
      <c r="U67" s="15">
        <f t="shared" si="56"/>
        <v>1500</v>
      </c>
      <c r="V67" s="15">
        <f t="shared" si="63"/>
        <v>1500</v>
      </c>
      <c r="X67" s="17" t="s">
        <v>107</v>
      </c>
      <c r="Z67" s="8"/>
      <c r="AF67" s="15">
        <f t="shared" si="58"/>
        <v>688483.76834133326</v>
      </c>
      <c r="AJ67" s="17"/>
      <c r="AM67" s="17"/>
      <c r="AP67" s="17"/>
      <c r="AQ67" s="20"/>
      <c r="AR67" s="20"/>
      <c r="AS67" s="17"/>
      <c r="AU67" s="21"/>
    </row>
    <row r="68" spans="1:47" x14ac:dyDescent="0.35">
      <c r="A68" s="8" t="s">
        <v>50</v>
      </c>
      <c r="B68" s="36" t="s">
        <v>108</v>
      </c>
      <c r="C68" s="15">
        <v>3454</v>
      </c>
      <c r="F68" s="16"/>
      <c r="G68" s="37">
        <f t="shared" si="54"/>
        <v>0</v>
      </c>
      <c r="Q68" s="15">
        <v>3454</v>
      </c>
      <c r="R68" s="15">
        <f t="shared" si="55"/>
        <v>3454</v>
      </c>
      <c r="U68" s="15">
        <f t="shared" si="56"/>
        <v>3454</v>
      </c>
      <c r="V68" s="15">
        <f t="shared" si="63"/>
        <v>3454</v>
      </c>
      <c r="X68" s="17" t="s">
        <v>109</v>
      </c>
      <c r="Z68" s="8"/>
      <c r="AF68" s="15">
        <f t="shared" si="58"/>
        <v>688483.76834133326</v>
      </c>
      <c r="AJ68" s="17"/>
      <c r="AM68" s="17"/>
      <c r="AP68" s="17"/>
      <c r="AQ68" s="20"/>
      <c r="AR68" s="20"/>
      <c r="AS68" s="17"/>
      <c r="AU68" s="21"/>
    </row>
    <row r="69" spans="1:47" x14ac:dyDescent="0.35">
      <c r="A69" s="8" t="s">
        <v>50</v>
      </c>
      <c r="B69" s="36" t="s">
        <v>110</v>
      </c>
      <c r="C69" s="15">
        <v>1000</v>
      </c>
      <c r="F69" s="16"/>
      <c r="G69" s="37">
        <f t="shared" si="54"/>
        <v>0</v>
      </c>
      <c r="Q69" s="15">
        <v>1000</v>
      </c>
      <c r="R69" s="15">
        <f t="shared" si="55"/>
        <v>1000</v>
      </c>
      <c r="U69" s="15">
        <f t="shared" si="56"/>
        <v>1000</v>
      </c>
      <c r="V69" s="15">
        <f t="shared" si="63"/>
        <v>1000</v>
      </c>
      <c r="Z69" s="8"/>
      <c r="AF69" s="15">
        <f t="shared" si="58"/>
        <v>688483.76834133326</v>
      </c>
      <c r="AJ69" s="17"/>
      <c r="AM69" s="17"/>
      <c r="AP69" s="17"/>
      <c r="AQ69" s="20"/>
      <c r="AR69" s="20"/>
      <c r="AS69" s="17"/>
      <c r="AU69" s="21"/>
    </row>
    <row r="70" spans="1:47" x14ac:dyDescent="0.35">
      <c r="A70" s="8" t="s">
        <v>50</v>
      </c>
      <c r="B70" s="36" t="s">
        <v>111</v>
      </c>
      <c r="C70" s="15">
        <v>1000</v>
      </c>
      <c r="F70" s="16"/>
      <c r="G70" s="37">
        <f t="shared" si="54"/>
        <v>0</v>
      </c>
      <c r="Q70" s="15">
        <v>1000</v>
      </c>
      <c r="R70" s="15">
        <f t="shared" si="55"/>
        <v>1000</v>
      </c>
      <c r="U70" s="15">
        <f t="shared" si="56"/>
        <v>1000</v>
      </c>
      <c r="V70" s="15">
        <f t="shared" si="63"/>
        <v>1000</v>
      </c>
      <c r="Z70" s="8"/>
      <c r="AF70" s="15">
        <f t="shared" si="58"/>
        <v>688483.76834133326</v>
      </c>
      <c r="AJ70" s="17"/>
      <c r="AM70" s="17"/>
      <c r="AP70" s="17"/>
      <c r="AQ70" s="20"/>
      <c r="AR70" s="20"/>
      <c r="AS70" s="17"/>
      <c r="AU70" s="21"/>
    </row>
    <row r="71" spans="1:47" x14ac:dyDescent="0.35">
      <c r="A71" s="22" t="s">
        <v>60</v>
      </c>
      <c r="B71" s="22" t="s">
        <v>87</v>
      </c>
      <c r="C71" s="23">
        <v>254590</v>
      </c>
      <c r="D71" s="23"/>
      <c r="E71" s="23"/>
      <c r="F71" s="23"/>
      <c r="G71" s="38"/>
      <c r="H71" s="22"/>
      <c r="I71" s="22"/>
      <c r="J71" s="22"/>
      <c r="K71" s="22"/>
      <c r="L71" s="22"/>
      <c r="M71" s="22"/>
      <c r="N71" s="22"/>
      <c r="O71" s="38"/>
      <c r="P71" s="22"/>
      <c r="Q71" s="23">
        <f>SUM(Q56:Q70)</f>
        <v>209119.7</v>
      </c>
      <c r="R71" s="23">
        <f>SUM(R56:R70)</f>
        <v>199381</v>
      </c>
      <c r="S71" s="23">
        <f>SUM(S56:S70)</f>
        <v>-740</v>
      </c>
      <c r="T71" s="23"/>
      <c r="U71" s="23">
        <f>SUM(U56:U70)</f>
        <v>198641</v>
      </c>
      <c r="V71" s="23">
        <f>SUM(V56:V70)</f>
        <v>198641</v>
      </c>
      <c r="W71" s="24" t="e">
        <f>IF(#REF!&gt;0,(#REF!-#REF!)/#REF!,"")</f>
        <v>#REF!</v>
      </c>
      <c r="X71" s="24"/>
      <c r="Y71" s="25">
        <f>SUM(Y56:Y59)</f>
        <v>127015</v>
      </c>
      <c r="Z71" s="25">
        <f>SUM(Z56:Z59)</f>
        <v>150188</v>
      </c>
      <c r="AA71" s="25"/>
      <c r="AB71" s="25">
        <f>SUM(AB56:AB61)</f>
        <v>127015</v>
      </c>
      <c r="AC71" s="25">
        <f>SUM(AC56:AC61)</f>
        <v>150188</v>
      </c>
      <c r="AD71" s="24">
        <f>IF(Y71&gt;0,(Z71-Y71)/Y71,"")</f>
        <v>0.18244301854111719</v>
      </c>
      <c r="AE71" s="23">
        <f>SUM(AE56:AE59)</f>
        <v>11554</v>
      </c>
      <c r="AF71" s="23">
        <f>SUM(AF56:AF59)</f>
        <v>904181.62295083329</v>
      </c>
      <c r="AG71" s="24"/>
      <c r="AH71" s="23">
        <f>SUM(AH56:AH60)</f>
        <v>658750</v>
      </c>
      <c r="AI71" s="23">
        <f>SUM(AI56:AI60)</f>
        <v>708199</v>
      </c>
      <c r="AJ71" s="24">
        <f>(AI71-AH71)/AH71</f>
        <v>7.5064895635673617E-2</v>
      </c>
      <c r="AK71" s="23">
        <f>SUM(AK56:AK60)</f>
        <v>709386</v>
      </c>
      <c r="AL71" s="23">
        <f>SUM(AL56:AL60)</f>
        <v>712814</v>
      </c>
      <c r="AM71" s="24">
        <f>(AL71-AK71)/AK71</f>
        <v>4.8323479741635726E-3</v>
      </c>
      <c r="AN71" s="23">
        <f>SUM(AN56:AN60)</f>
        <v>397549</v>
      </c>
      <c r="AO71" s="23">
        <f>SUM(AO56:AO60)</f>
        <v>445979</v>
      </c>
      <c r="AP71" s="24">
        <f>(AO71-AN71)/AN71</f>
        <v>0.12182146100229155</v>
      </c>
      <c r="AQ71" s="20" t="e">
        <f>AK71-#REF!</f>
        <v>#REF!</v>
      </c>
      <c r="AR71" s="20" t="e">
        <f>AL71-#REF!</f>
        <v>#REF!</v>
      </c>
      <c r="AS71" s="24" t="e">
        <f>(AR71-AQ71)/AQ71</f>
        <v>#REF!</v>
      </c>
      <c r="AT71" s="26"/>
      <c r="AU71" s="21"/>
    </row>
    <row r="72" spans="1:47" x14ac:dyDescent="0.35">
      <c r="R72" s="11" t="e">
        <f>IF(ROUNDDOWN((R71-#REF!)/#REF!*100,0)&gt;0,"+"&amp;ROUNDDOWN((R71-#REF!)/#REF!*100,0)&amp;"% /2025",ROUNDDOWN((R71-#REF!)/#REF!*100,0)&amp;"% /2025")</f>
        <v>#REF!</v>
      </c>
      <c r="AJ72" s="17"/>
      <c r="AM72" s="17"/>
      <c r="AP72" s="17"/>
      <c r="AQ72" s="17"/>
      <c r="AR72" s="17"/>
      <c r="AS72" s="17"/>
      <c r="AU72" s="21"/>
    </row>
    <row r="73" spans="1:47" x14ac:dyDescent="0.35">
      <c r="A73" s="30" t="s">
        <v>112</v>
      </c>
      <c r="B73" s="30" t="s">
        <v>113</v>
      </c>
      <c r="C73" s="31">
        <v>2230718</v>
      </c>
      <c r="D73" s="31"/>
      <c r="E73" s="31"/>
      <c r="F73" s="31">
        <v>12.437886499999999</v>
      </c>
      <c r="G73" s="40"/>
      <c r="H73" s="30"/>
      <c r="I73" s="30"/>
      <c r="J73" s="30"/>
      <c r="K73" s="30"/>
      <c r="L73" s="30"/>
      <c r="M73" s="30"/>
      <c r="N73" s="30"/>
      <c r="O73" s="40"/>
      <c r="P73" s="30"/>
      <c r="Q73" s="31">
        <f>Q71+Q54+Q41+Q29+Q18+Q9</f>
        <v>2060499.1390372855</v>
      </c>
      <c r="R73" s="31">
        <f>R71+R54+R41+R29+R18+R9</f>
        <v>1877334.887716007</v>
      </c>
      <c r="S73" s="31">
        <f>S71+S54+S41+S29+S18+S9</f>
        <v>32901</v>
      </c>
      <c r="T73" s="31"/>
      <c r="U73" s="31">
        <f>U71+U54+U41+U29+U18+U9</f>
        <v>1910235.887716007</v>
      </c>
      <c r="V73" s="31">
        <f>V71+V54+V41+V29+V18+V9</f>
        <v>4931595.5965024587</v>
      </c>
      <c r="W73" s="32" t="e">
        <f>IF(#REF!&gt;0,(#REF!-#REF!)/#REF!,"")</f>
        <v>#REF!</v>
      </c>
      <c r="X73" s="32"/>
      <c r="Y73" s="33">
        <f>Y71+Y54+Y41++Y29+Y18+Y9</f>
        <v>850419</v>
      </c>
      <c r="Z73" s="33">
        <f>Z71+Z54+Z41++Z29+Z18+Z9</f>
        <v>857986</v>
      </c>
      <c r="AA73" s="33"/>
      <c r="AB73" s="33">
        <f>AB71+AB54+AB41++AB29+AB18+AB9</f>
        <v>1760112</v>
      </c>
      <c r="AC73" s="33">
        <f>AC71+AC54+AC41++AC29+AC18+AC9</f>
        <v>1734444</v>
      </c>
      <c r="AD73" s="32">
        <f>IF(Y73&gt;0,(Z73-Y73)/Y73,"")</f>
        <v>8.8979667669701647E-3</v>
      </c>
      <c r="AE73" s="31" t="e">
        <f>AE71+AE54+AE41+AE29+AE18+AE9</f>
        <v>#REF!</v>
      </c>
      <c r="AF73" s="31">
        <f>AF71+AF54+AF41+AF29+AF18+AF9</f>
        <v>11358484.083815064</v>
      </c>
      <c r="AH73" s="31">
        <f>AH9+AH18+AH54+AH71</f>
        <v>5440407</v>
      </c>
      <c r="AI73" s="31">
        <f>AI9+AI18+AI54+AI71</f>
        <v>5713658</v>
      </c>
      <c r="AJ73" s="32">
        <f>(AI73-AH73)/AH73</f>
        <v>5.0226205502639787E-2</v>
      </c>
      <c r="AK73" s="31">
        <f>AK9+AK18+AK54+AK71</f>
        <v>5461888</v>
      </c>
      <c r="AL73" s="31">
        <f>AL9+AL18+AL54+AL71</f>
        <v>5619170</v>
      </c>
      <c r="AM73" s="32">
        <f>(AL73-AK73)/AK73</f>
        <v>2.8796269714794591E-2</v>
      </c>
      <c r="AN73" s="31">
        <f>AN9+AN18+AN54+AN71</f>
        <v>4311576</v>
      </c>
      <c r="AO73" s="31">
        <f>AO9+AO18+AO54+AO71</f>
        <v>4430375</v>
      </c>
      <c r="AP73" s="32">
        <f>(AO73-AN73)/AN73</f>
        <v>2.7553497839305163E-2</v>
      </c>
      <c r="AQ73" s="20" t="e">
        <f>AK73-#REF!</f>
        <v>#REF!</v>
      </c>
      <c r="AR73" s="20" t="e">
        <f>AL73-#REF!</f>
        <v>#REF!</v>
      </c>
      <c r="AS73" s="32" t="e">
        <f>(AR73-AQ73)/AQ73</f>
        <v>#REF!</v>
      </c>
      <c r="AT73" s="21">
        <f>AVERAGE(AT3:AT72)</f>
        <v>107.93488843855461</v>
      </c>
      <c r="AU73" s="21">
        <f>AVERAGE(AU3:AU72)</f>
        <v>134.88263283766602</v>
      </c>
    </row>
    <row r="74" spans="1:47" x14ac:dyDescent="0.35">
      <c r="B74" s="8" t="s">
        <v>114</v>
      </c>
      <c r="C74" s="15">
        <v>448999</v>
      </c>
      <c r="Q74" s="15" t="e">
        <f>Q73-#REF!</f>
        <v>#REF!</v>
      </c>
      <c r="R74" s="15" t="e">
        <f>R73-#REF!</f>
        <v>#REF!</v>
      </c>
      <c r="U74" s="15" t="e">
        <f>U73-#REF!</f>
        <v>#REF!</v>
      </c>
    </row>
    <row r="75" spans="1:47" x14ac:dyDescent="0.35">
      <c r="R75" s="15">
        <v>25000</v>
      </c>
    </row>
    <row r="76" spans="1:47" x14ac:dyDescent="0.35">
      <c r="A76" s="8" t="s">
        <v>141</v>
      </c>
      <c r="B76" s="8">
        <v>1953000</v>
      </c>
      <c r="Q76" s="8">
        <v>1</v>
      </c>
      <c r="R76" s="8">
        <v>2</v>
      </c>
      <c r="S76" s="15" t="s">
        <v>115</v>
      </c>
      <c r="U76" s="15" t="s">
        <v>116</v>
      </c>
      <c r="V76" s="15" t="s">
        <v>117</v>
      </c>
    </row>
    <row r="77" spans="1:47" x14ac:dyDescent="0.35">
      <c r="B77" s="8">
        <v>4</v>
      </c>
      <c r="Q77" s="8">
        <f>22*8*36</f>
        <v>6336</v>
      </c>
      <c r="R77" s="8">
        <f>Q77*2</f>
        <v>12672</v>
      </c>
      <c r="S77" s="15">
        <v>24</v>
      </c>
      <c r="U77" s="27">
        <f>R77/(24*36*8)</f>
        <v>1.8333333333333333</v>
      </c>
      <c r="V77" s="15">
        <f>R77/3</f>
        <v>4224</v>
      </c>
    </row>
    <row r="78" spans="1:47" x14ac:dyDescent="0.35">
      <c r="Q78" s="8">
        <f>22*50*13</f>
        <v>14300</v>
      </c>
      <c r="R78" s="8">
        <f>22*50*13*2</f>
        <v>28600</v>
      </c>
      <c r="S78" s="15">
        <v>20</v>
      </c>
      <c r="U78" s="27">
        <f>R78/(24*13*50)</f>
        <v>1.8333333333333333</v>
      </c>
      <c r="V78" s="27">
        <f>R78/3</f>
        <v>9533.3333333333339</v>
      </c>
    </row>
    <row r="79" spans="1:47" x14ac:dyDescent="0.35">
      <c r="Q79" s="8">
        <f>80*5*13</f>
        <v>5200</v>
      </c>
      <c r="R79" s="8"/>
      <c r="S79" s="15">
        <v>10</v>
      </c>
      <c r="U79" s="27">
        <f>Q79/(S79*13*50)</f>
        <v>0.8</v>
      </c>
      <c r="Z79" s="18">
        <v>53500</v>
      </c>
    </row>
    <row r="80" spans="1:47" x14ac:dyDescent="0.35">
      <c r="Q80" s="8">
        <f>22*50*47</f>
        <v>51700</v>
      </c>
      <c r="R80" s="8">
        <f>Q80*2</f>
        <v>103400</v>
      </c>
      <c r="V80" s="15">
        <f>R80/3</f>
        <v>34466.666666666664</v>
      </c>
    </row>
    <row r="81" spans="3:23" x14ac:dyDescent="0.35">
      <c r="Q81" s="15">
        <f>22*10*36</f>
        <v>7920</v>
      </c>
      <c r="R81" s="15">
        <f>Q81*2</f>
        <v>15840</v>
      </c>
      <c r="V81" s="15">
        <f>R81/3</f>
        <v>5280</v>
      </c>
    </row>
    <row r="83" spans="3:23" x14ac:dyDescent="0.35">
      <c r="C83" s="8">
        <v>2026</v>
      </c>
    </row>
    <row r="84" spans="3:23" x14ac:dyDescent="0.35">
      <c r="C84" s="15">
        <v>2103624</v>
      </c>
    </row>
    <row r="85" spans="3:23" x14ac:dyDescent="0.35">
      <c r="T85" s="15">
        <f>1911697-U73</f>
        <v>1461.1122839930467</v>
      </c>
      <c r="W85" s="19"/>
    </row>
  </sheetData>
  <conditionalFormatting sqref="R3:R70">
    <cfRule type="expression" dxfId="7" priority="3">
      <formula>R3&gt;=C3</formula>
    </cfRule>
    <cfRule type="expression" dxfId="6" priority="4">
      <formula>R3&lt;C3</formula>
    </cfRule>
  </conditionalFormatting>
  <conditionalFormatting sqref="R72">
    <cfRule type="expression" dxfId="5" priority="1">
      <formula>R72&gt;=C72</formula>
    </cfRule>
    <cfRule type="expression" dxfId="4" priority="2">
      <formula>R72&lt;C72</formula>
    </cfRule>
  </conditionalFormatting>
  <conditionalFormatting sqref="W3:X57 W58 W59:X73 AG3:AG73 AJ3:AJ73 AP3:AP73">
    <cfRule type="colorScale" priority="6">
      <colorScale>
        <cfvo type="num" val="-0.05"/>
        <cfvo type="num" val="0"/>
        <cfvo type="num" val="0.05"/>
        <color rgb="FF63BE7B"/>
        <color rgb="FFFCFCFF"/>
        <color rgb="FFF8696B"/>
      </colorScale>
    </cfRule>
  </conditionalFormatting>
  <conditionalFormatting sqref="AD2:AD73">
    <cfRule type="expression" dxfId="3" priority="7" stopIfTrue="1">
      <formula>AND(ISNUMBER($AD2), $AD2&gt;0)</formula>
    </cfRule>
    <cfRule type="expression" dxfId="2" priority="8" stopIfTrue="1">
      <formula>AND(ISNUMBER($AD2), $AD2&lt;0)</formula>
    </cfRule>
  </conditionalFormatting>
  <conditionalFormatting sqref="AD3:AD73 AM3:AM73 AS3:AS73">
    <cfRule type="colorScale" priority="5">
      <colorScale>
        <cfvo type="num" val="0.05"/>
        <cfvo type="percentile" val="50"/>
        <cfvo type="num" val="0.05"/>
        <color rgb="FFF8696B"/>
        <color rgb="FFFCFCFF"/>
        <color rgb="FF63BE7B"/>
      </colorScale>
    </cfRule>
  </conditionalFormatting>
  <conditionalFormatting sqref="AG2">
    <cfRule type="expression" dxfId="1" priority="9" stopIfTrue="1">
      <formula>AND(ISNUMBER($AG2), $AG2&gt;0)</formula>
    </cfRule>
    <cfRule type="expression" dxfId="0" priority="10" stopIfTrue="1">
      <formula>AND(ISNUMBER($AG2), $AG2&lt;0)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Explications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Jacquiot</dc:creator>
  <cp:lastModifiedBy>Maxime Jacquiot</cp:lastModifiedBy>
  <dcterms:created xsi:type="dcterms:W3CDTF">2015-06-05T18:19:34Z</dcterms:created>
  <dcterms:modified xsi:type="dcterms:W3CDTF">2026-06-19T06:52:32Z</dcterms:modified>
</cp:coreProperties>
</file>